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\WebNoten\NotenAppWeb\"/>
    </mc:Choice>
  </mc:AlternateContent>
  <xr:revisionPtr revIDLastSave="0" documentId="13_ncr:1_{2C47F57F-3BDE-4BC8-91A7-E4A0CB446F5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tammdaten" sheetId="1" r:id="rId1"/>
    <sheet name="LN_GLN1" sheetId="2" r:id="rId2"/>
    <sheet name="LN_KLN Krypto" sheetId="3" r:id="rId3"/>
    <sheet name="LN_KLN KI" sheetId="4" r:id="rId4"/>
    <sheet name="LN_SÜ Krypto" sheetId="5" r:id="rId5"/>
    <sheet name="Noten_HJ1" sheetId="6" r:id="rId6"/>
    <sheet name="Noten_HJ2" sheetId="7" r:id="rId7"/>
    <sheet name="Noten_Jahr" sheetId="8" r:id="rId8"/>
    <sheet name="Notentabelle" sheetId="9" state="hidden" r:id="rId9"/>
    <sheet name="Noten_Zusatz" sheetId="10" state="hidden" r:id="rId10"/>
    <sheet name="Einstellungen" sheetId="11" state="hidden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8" l="1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B2" i="8"/>
  <c r="A2" i="8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B28" i="6"/>
  <c r="A28" i="6"/>
  <c r="B27" i="6"/>
  <c r="A27" i="6"/>
  <c r="C26" i="6"/>
  <c r="B26" i="6"/>
  <c r="A26" i="6"/>
  <c r="B25" i="6"/>
  <c r="A25" i="6"/>
  <c r="B24" i="6"/>
  <c r="A24" i="6"/>
  <c r="C23" i="6"/>
  <c r="B23" i="6"/>
  <c r="A23" i="6"/>
  <c r="B22" i="6"/>
  <c r="A22" i="6"/>
  <c r="B21" i="6"/>
  <c r="A21" i="6"/>
  <c r="B20" i="6"/>
  <c r="A20" i="6"/>
  <c r="C19" i="6"/>
  <c r="B19" i="6"/>
  <c r="A19" i="6"/>
  <c r="B18" i="6"/>
  <c r="A18" i="6"/>
  <c r="B17" i="6"/>
  <c r="A17" i="6"/>
  <c r="B16" i="6"/>
  <c r="A16" i="6"/>
  <c r="C15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C7" i="6"/>
  <c r="B7" i="6"/>
  <c r="A7" i="6"/>
  <c r="C6" i="6"/>
  <c r="B6" i="6"/>
  <c r="A6" i="6"/>
  <c r="B5" i="6"/>
  <c r="A5" i="6"/>
  <c r="B4" i="6"/>
  <c r="A4" i="6"/>
  <c r="B3" i="6"/>
  <c r="A3" i="6"/>
  <c r="B2" i="6"/>
  <c r="A2" i="6"/>
  <c r="M31" i="5"/>
  <c r="L31" i="5"/>
  <c r="A31" i="5"/>
  <c r="L30" i="5"/>
  <c r="A30" i="5"/>
  <c r="L29" i="5"/>
  <c r="A29" i="5"/>
  <c r="L28" i="5"/>
  <c r="A28" i="5"/>
  <c r="L27" i="5"/>
  <c r="A27" i="5"/>
  <c r="L26" i="5"/>
  <c r="A26" i="5"/>
  <c r="L25" i="5"/>
  <c r="A25" i="5"/>
  <c r="L24" i="5"/>
  <c r="A24" i="5"/>
  <c r="L23" i="5"/>
  <c r="A23" i="5"/>
  <c r="L22" i="5"/>
  <c r="A22" i="5"/>
  <c r="L21" i="5"/>
  <c r="A21" i="5"/>
  <c r="L20" i="5"/>
  <c r="A20" i="5"/>
  <c r="L19" i="5"/>
  <c r="A19" i="5"/>
  <c r="L18" i="5"/>
  <c r="A18" i="5"/>
  <c r="L17" i="5"/>
  <c r="A17" i="5"/>
  <c r="L16" i="5"/>
  <c r="A16" i="5"/>
  <c r="L15" i="5"/>
  <c r="A15" i="5"/>
  <c r="L14" i="5"/>
  <c r="A14" i="5"/>
  <c r="L13" i="5"/>
  <c r="A13" i="5"/>
  <c r="L12" i="5"/>
  <c r="A12" i="5"/>
  <c r="L11" i="5"/>
  <c r="A11" i="5"/>
  <c r="L10" i="5"/>
  <c r="A10" i="5"/>
  <c r="L9" i="5"/>
  <c r="A9" i="5"/>
  <c r="L8" i="5"/>
  <c r="A8" i="5"/>
  <c r="L7" i="5"/>
  <c r="A7" i="5"/>
  <c r="L6" i="5"/>
  <c r="A6" i="5"/>
  <c r="L5" i="5"/>
  <c r="A5" i="5"/>
  <c r="L4" i="5"/>
  <c r="E31" i="4"/>
  <c r="A31" i="4"/>
  <c r="E30" i="4"/>
  <c r="A30" i="4"/>
  <c r="E29" i="4"/>
  <c r="A29" i="4"/>
  <c r="E28" i="4"/>
  <c r="A28" i="4"/>
  <c r="E27" i="4"/>
  <c r="A27" i="4"/>
  <c r="E26" i="4"/>
  <c r="A26" i="4"/>
  <c r="E25" i="4"/>
  <c r="A25" i="4"/>
  <c r="E24" i="4"/>
  <c r="A24" i="4"/>
  <c r="E23" i="4"/>
  <c r="A23" i="4"/>
  <c r="E22" i="4"/>
  <c r="A22" i="4"/>
  <c r="E21" i="4"/>
  <c r="A21" i="4"/>
  <c r="E20" i="4"/>
  <c r="A20" i="4"/>
  <c r="E19" i="4"/>
  <c r="A19" i="4"/>
  <c r="E18" i="4"/>
  <c r="A18" i="4"/>
  <c r="E17" i="4"/>
  <c r="A17" i="4"/>
  <c r="E16" i="4"/>
  <c r="A16" i="4"/>
  <c r="E15" i="4"/>
  <c r="A15" i="4"/>
  <c r="E14" i="4"/>
  <c r="A14" i="4"/>
  <c r="E13" i="4"/>
  <c r="A13" i="4"/>
  <c r="E12" i="4"/>
  <c r="A12" i="4"/>
  <c r="E11" i="4"/>
  <c r="A11" i="4"/>
  <c r="E10" i="4"/>
  <c r="A10" i="4"/>
  <c r="E9" i="4"/>
  <c r="A9" i="4"/>
  <c r="E8" i="4"/>
  <c r="A8" i="4"/>
  <c r="E7" i="4"/>
  <c r="A7" i="4"/>
  <c r="E6" i="4"/>
  <c r="A6" i="4"/>
  <c r="E5" i="4"/>
  <c r="A5" i="4"/>
  <c r="E4" i="4"/>
  <c r="E31" i="3"/>
  <c r="A31" i="3"/>
  <c r="E30" i="3"/>
  <c r="A30" i="3"/>
  <c r="E29" i="3"/>
  <c r="A29" i="3"/>
  <c r="E28" i="3"/>
  <c r="A28" i="3"/>
  <c r="E27" i="3"/>
  <c r="A27" i="3"/>
  <c r="E26" i="3"/>
  <c r="A26" i="3"/>
  <c r="E25" i="3"/>
  <c r="A25" i="3"/>
  <c r="E24" i="3"/>
  <c r="A24" i="3"/>
  <c r="E23" i="3"/>
  <c r="A23" i="3"/>
  <c r="E22" i="3"/>
  <c r="A22" i="3"/>
  <c r="E21" i="3"/>
  <c r="A21" i="3"/>
  <c r="E20" i="3"/>
  <c r="A20" i="3"/>
  <c r="E19" i="3"/>
  <c r="A19" i="3"/>
  <c r="E18" i="3"/>
  <c r="A18" i="3"/>
  <c r="E17" i="3"/>
  <c r="A17" i="3"/>
  <c r="E16" i="3"/>
  <c r="A16" i="3"/>
  <c r="E15" i="3"/>
  <c r="A15" i="3"/>
  <c r="E14" i="3"/>
  <c r="A14" i="3"/>
  <c r="E13" i="3"/>
  <c r="A13" i="3"/>
  <c r="E12" i="3"/>
  <c r="A12" i="3"/>
  <c r="E11" i="3"/>
  <c r="A11" i="3"/>
  <c r="E10" i="3"/>
  <c r="A10" i="3"/>
  <c r="E9" i="3"/>
  <c r="A9" i="3"/>
  <c r="E8" i="3"/>
  <c r="A8" i="3"/>
  <c r="E7" i="3"/>
  <c r="A7" i="3"/>
  <c r="E6" i="3"/>
  <c r="A6" i="3"/>
  <c r="E5" i="3"/>
  <c r="A5" i="3"/>
  <c r="E4" i="3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C28" i="8" l="1"/>
  <c r="C18" i="6"/>
  <c r="D18" i="6" s="1"/>
  <c r="C10" i="6"/>
  <c r="D10" i="6" s="1"/>
  <c r="C3" i="6"/>
  <c r="D3" i="6" s="1"/>
  <c r="B28" i="7"/>
  <c r="C28" i="7" s="1"/>
  <c r="D28" i="7" s="1"/>
  <c r="D26" i="6"/>
  <c r="C21" i="6"/>
  <c r="D21" i="6" s="1"/>
  <c r="C11" i="6"/>
  <c r="D11" i="6" s="1"/>
  <c r="C28" i="6"/>
  <c r="D28" i="6" s="1"/>
  <c r="C25" i="6"/>
  <c r="D25" i="6" s="1"/>
  <c r="C24" i="6"/>
  <c r="D24" i="6" s="1"/>
  <c r="D23" i="6"/>
  <c r="D19" i="6"/>
  <c r="C9" i="6"/>
  <c r="D9" i="6" s="1"/>
  <c r="C13" i="6"/>
  <c r="D13" i="6" s="1"/>
  <c r="C4" i="6"/>
  <c r="D4" i="6" s="1"/>
  <c r="C2" i="6"/>
  <c r="D2" i="6" s="1"/>
  <c r="D15" i="6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5" i="5"/>
  <c r="M14" i="5"/>
  <c r="M13" i="5"/>
  <c r="M12" i="5"/>
  <c r="M11" i="5"/>
  <c r="M10" i="5"/>
  <c r="M9" i="5"/>
  <c r="M8" i="5"/>
  <c r="M7" i="5"/>
  <c r="M6" i="5"/>
  <c r="M5" i="5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8" i="4"/>
  <c r="G18" i="4" s="1"/>
  <c r="F17" i="4"/>
  <c r="G17" i="4" s="1"/>
  <c r="F16" i="4"/>
  <c r="G16" i="4" s="1"/>
  <c r="F15" i="4"/>
  <c r="G15" i="4" s="1"/>
  <c r="F7" i="3"/>
  <c r="G7" i="3" s="1"/>
  <c r="F6" i="3"/>
  <c r="G6" i="3" s="1"/>
  <c r="D6" i="6"/>
  <c r="N31" i="5"/>
  <c r="M16" i="5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31" i="3"/>
  <c r="G31" i="3" s="1"/>
  <c r="F30" i="3"/>
  <c r="G30" i="3" s="1"/>
  <c r="F29" i="3"/>
  <c r="G29" i="3" s="1"/>
  <c r="F28" i="3"/>
  <c r="G28" i="3" s="1"/>
  <c r="F27" i="3"/>
  <c r="G27" i="3" s="1"/>
  <c r="F20" i="3"/>
  <c r="G20" i="3" s="1"/>
  <c r="F19" i="3"/>
  <c r="G19" i="3" s="1"/>
  <c r="F17" i="3"/>
  <c r="G17" i="3" s="1"/>
  <c r="F14" i="3"/>
  <c r="G14" i="3" s="1"/>
  <c r="F12" i="3"/>
  <c r="G12" i="3" s="1"/>
  <c r="F9" i="3"/>
  <c r="G9" i="3" s="1"/>
  <c r="F5" i="3"/>
  <c r="G5" i="3" s="1"/>
  <c r="C27" i="6"/>
  <c r="D27" i="6" s="1"/>
  <c r="C16" i="6"/>
  <c r="D16" i="6" s="1"/>
  <c r="C14" i="6"/>
  <c r="D14" i="6" s="1"/>
  <c r="C8" i="6"/>
  <c r="D8" i="6" s="1"/>
  <c r="C5" i="6"/>
  <c r="D5" i="6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18" i="3"/>
  <c r="G18" i="3" s="1"/>
  <c r="F16" i="3"/>
  <c r="G16" i="3" s="1"/>
  <c r="F15" i="3"/>
  <c r="G15" i="3" s="1"/>
  <c r="F13" i="3"/>
  <c r="G13" i="3" s="1"/>
  <c r="F11" i="3"/>
  <c r="G11" i="3" s="1"/>
  <c r="F10" i="3"/>
  <c r="G10" i="3" s="1"/>
  <c r="F8" i="3"/>
  <c r="G8" i="3" s="1"/>
  <c r="C22" i="6"/>
  <c r="D22" i="6" s="1"/>
  <c r="C20" i="6"/>
  <c r="D20" i="6" s="1"/>
  <c r="C17" i="6"/>
  <c r="D17" i="6" s="1"/>
  <c r="C12" i="6"/>
  <c r="D12" i="6" s="1"/>
  <c r="D7" i="6"/>
  <c r="N30" i="5" l="1"/>
  <c r="B27" i="7"/>
  <c r="C27" i="7" s="1"/>
  <c r="D27" i="7" s="1"/>
  <c r="C27" i="8"/>
  <c r="D27" i="8" s="1"/>
  <c r="E27" i="8" s="1"/>
  <c r="N29" i="5"/>
  <c r="B26" i="7"/>
  <c r="C26" i="7" s="1"/>
  <c r="D26" i="7" s="1"/>
  <c r="C26" i="8"/>
  <c r="D26" i="8" s="1"/>
  <c r="E26" i="8" s="1"/>
  <c r="N28" i="5"/>
  <c r="B25" i="7"/>
  <c r="C25" i="7" s="1"/>
  <c r="D25" i="7" s="1"/>
  <c r="C25" i="8"/>
  <c r="D25" i="8" s="1"/>
  <c r="E25" i="8" s="1"/>
  <c r="N27" i="5"/>
  <c r="B24" i="7"/>
  <c r="C24" i="7" s="1"/>
  <c r="D24" i="7" s="1"/>
  <c r="C24" i="8"/>
  <c r="D24" i="8" s="1"/>
  <c r="E24" i="8" s="1"/>
  <c r="N26" i="5"/>
  <c r="B23" i="7"/>
  <c r="C23" i="7" s="1"/>
  <c r="D23" i="7" s="1"/>
  <c r="C23" i="8"/>
  <c r="D23" i="8" s="1"/>
  <c r="E23" i="8" s="1"/>
  <c r="N25" i="5"/>
  <c r="B22" i="7"/>
  <c r="C22" i="7" s="1"/>
  <c r="D22" i="7" s="1"/>
  <c r="C22" i="8"/>
  <c r="D22" i="8" s="1"/>
  <c r="E22" i="8" s="1"/>
  <c r="N24" i="5"/>
  <c r="B21" i="7"/>
  <c r="C21" i="7" s="1"/>
  <c r="D21" i="7" s="1"/>
  <c r="C21" i="8"/>
  <c r="D21" i="8" s="1"/>
  <c r="E21" i="8" s="1"/>
  <c r="N23" i="5"/>
  <c r="B20" i="7"/>
  <c r="C20" i="7" s="1"/>
  <c r="D20" i="7" s="1"/>
  <c r="C20" i="8"/>
  <c r="D20" i="8" s="1"/>
  <c r="E20" i="8" s="1"/>
  <c r="N22" i="5"/>
  <c r="B19" i="7"/>
  <c r="C19" i="7" s="1"/>
  <c r="D19" i="7" s="1"/>
  <c r="C19" i="8"/>
  <c r="D19" i="8" s="1"/>
  <c r="E19" i="8" s="1"/>
  <c r="N21" i="5"/>
  <c r="B18" i="7"/>
  <c r="C18" i="7" s="1"/>
  <c r="D18" i="7" s="1"/>
  <c r="C18" i="8"/>
  <c r="D18" i="8" s="1"/>
  <c r="E18" i="8" s="1"/>
  <c r="N20" i="5"/>
  <c r="B17" i="7"/>
  <c r="C17" i="7" s="1"/>
  <c r="D17" i="7" s="1"/>
  <c r="C17" i="8"/>
  <c r="D17" i="8" s="1"/>
  <c r="E17" i="8" s="1"/>
  <c r="N19" i="5"/>
  <c r="B16" i="7"/>
  <c r="C16" i="7" s="1"/>
  <c r="D16" i="7" s="1"/>
  <c r="C16" i="8"/>
  <c r="D16" i="8" s="1"/>
  <c r="E16" i="8" s="1"/>
  <c r="N18" i="5"/>
  <c r="B15" i="7"/>
  <c r="C15" i="7" s="1"/>
  <c r="D15" i="7" s="1"/>
  <c r="C15" i="8"/>
  <c r="D15" i="8" s="1"/>
  <c r="E15" i="8" s="1"/>
  <c r="N17" i="5"/>
  <c r="B14" i="7"/>
  <c r="C14" i="7" s="1"/>
  <c r="D14" i="7" s="1"/>
  <c r="C14" i="8"/>
  <c r="D14" i="8" s="1"/>
  <c r="E14" i="8" s="1"/>
  <c r="N15" i="5"/>
  <c r="B12" i="7"/>
  <c r="C12" i="7" s="1"/>
  <c r="D12" i="7" s="1"/>
  <c r="C12" i="8"/>
  <c r="D12" i="8" s="1"/>
  <c r="E12" i="8" s="1"/>
  <c r="N14" i="5"/>
  <c r="B11" i="7"/>
  <c r="C11" i="7" s="1"/>
  <c r="D11" i="7" s="1"/>
  <c r="C11" i="8"/>
  <c r="D11" i="8" s="1"/>
  <c r="E11" i="8" s="1"/>
  <c r="N13" i="5"/>
  <c r="B10" i="7"/>
  <c r="C10" i="7" s="1"/>
  <c r="D10" i="7" s="1"/>
  <c r="C10" i="8"/>
  <c r="D10" i="8" s="1"/>
  <c r="E10" i="8" s="1"/>
  <c r="N12" i="5"/>
  <c r="B9" i="7"/>
  <c r="C9" i="7" s="1"/>
  <c r="D9" i="7" s="1"/>
  <c r="C9" i="8"/>
  <c r="D9" i="8" s="1"/>
  <c r="E9" i="8" s="1"/>
  <c r="N11" i="5"/>
  <c r="B8" i="7"/>
  <c r="C8" i="7" s="1"/>
  <c r="D8" i="7" s="1"/>
  <c r="C8" i="8"/>
  <c r="D8" i="8" s="1"/>
  <c r="E8" i="8" s="1"/>
  <c r="N10" i="5"/>
  <c r="B7" i="7"/>
  <c r="C7" i="7" s="1"/>
  <c r="D7" i="7" s="1"/>
  <c r="C7" i="8"/>
  <c r="D7" i="8" s="1"/>
  <c r="E7" i="8" s="1"/>
  <c r="N9" i="5"/>
  <c r="B6" i="7"/>
  <c r="C6" i="7" s="1"/>
  <c r="D6" i="7" s="1"/>
  <c r="C6" i="8"/>
  <c r="D6" i="8" s="1"/>
  <c r="E6" i="8" s="1"/>
  <c r="N8" i="5"/>
  <c r="B5" i="7"/>
  <c r="C5" i="7" s="1"/>
  <c r="D5" i="7" s="1"/>
  <c r="C5" i="8"/>
  <c r="D5" i="8" s="1"/>
  <c r="E5" i="8" s="1"/>
  <c r="N7" i="5"/>
  <c r="B4" i="7"/>
  <c r="C4" i="7" s="1"/>
  <c r="D4" i="7" s="1"/>
  <c r="C4" i="8"/>
  <c r="D4" i="8" s="1"/>
  <c r="E4" i="8" s="1"/>
  <c r="N6" i="5"/>
  <c r="B3" i="7"/>
  <c r="C3" i="7" s="1"/>
  <c r="D3" i="7" s="1"/>
  <c r="C3" i="8"/>
  <c r="D3" i="8" s="1"/>
  <c r="E3" i="8" s="1"/>
  <c r="N5" i="5"/>
  <c r="B2" i="7"/>
  <c r="C2" i="7" s="1"/>
  <c r="D2" i="7" s="1"/>
  <c r="C2" i="8"/>
  <c r="D2" i="8" s="1"/>
  <c r="E2" i="8" s="1"/>
  <c r="N16" i="5"/>
  <c r="B13" i="7"/>
  <c r="C13" i="7" s="1"/>
  <c r="D13" i="7" s="1"/>
  <c r="C13" i="8"/>
  <c r="D13" i="8" s="1"/>
  <c r="E13" i="8" s="1"/>
  <c r="D28" i="8"/>
  <c r="E28" i="8" s="1"/>
</calcChain>
</file>

<file path=xl/sharedStrings.xml><?xml version="1.0" encoding="utf-8"?>
<sst xmlns="http://schemas.openxmlformats.org/spreadsheetml/2006/main" count="268" uniqueCount="156">
  <si>
    <t>Klasse:</t>
  </si>
  <si>
    <t>Fach:</t>
  </si>
  <si>
    <t>Schuljahr:</t>
  </si>
  <si>
    <t>Nachname</t>
  </si>
  <si>
    <t>Vorname</t>
  </si>
  <si>
    <t>Status</t>
  </si>
  <si>
    <t>Austrittsdatum</t>
  </si>
  <si>
    <t>Abgang_nach_HJ</t>
  </si>
  <si>
    <t>Aufnahme_ab_HJ</t>
  </si>
  <si>
    <t>Aufnahme_Vorh_HJ1</t>
  </si>
  <si>
    <t>Aufnahme_Vorh_HJ2</t>
  </si>
  <si>
    <t>Aufnahme_Vorh_HJ3</t>
  </si>
  <si>
    <t>Farnheim</t>
  </si>
  <si>
    <t>Goro</t>
  </si>
  <si>
    <t>Aktiv</t>
  </si>
  <si>
    <t>Silbersee</t>
  </si>
  <si>
    <t>Caro</t>
  </si>
  <si>
    <t>Adlerquell</t>
  </si>
  <si>
    <t>Weya</t>
  </si>
  <si>
    <t>Talwind</t>
  </si>
  <si>
    <t>Demi</t>
  </si>
  <si>
    <t>Nachtigall</t>
  </si>
  <si>
    <t>Alma</t>
  </si>
  <si>
    <t>Kieselhain</t>
  </si>
  <si>
    <t>Tino</t>
  </si>
  <si>
    <t>Kornfeld</t>
  </si>
  <si>
    <t>Nerio</t>
  </si>
  <si>
    <t>Rosenquarz</t>
  </si>
  <si>
    <t>Vito</t>
  </si>
  <si>
    <t>Seidenberg</t>
  </si>
  <si>
    <t>Miro</t>
  </si>
  <si>
    <t>Pia</t>
  </si>
  <si>
    <t>Blaustein</t>
  </si>
  <si>
    <t>Bergquell</t>
  </si>
  <si>
    <t>Ari</t>
  </si>
  <si>
    <t>Jari</t>
  </si>
  <si>
    <t>Bino</t>
  </si>
  <si>
    <t>Uma</t>
  </si>
  <si>
    <t>Ausgeschieden</t>
  </si>
  <si>
    <t>Tannenhof</t>
  </si>
  <si>
    <t>Gina</t>
  </si>
  <si>
    <t>Lindenfels</t>
  </si>
  <si>
    <t>Waldhauch</t>
  </si>
  <si>
    <t>Winterborn</t>
  </si>
  <si>
    <t>Raya</t>
  </si>
  <si>
    <t>Ivo</t>
  </si>
  <si>
    <t>Mondenfels</t>
  </si>
  <si>
    <t>Wolkenberg</t>
  </si>
  <si>
    <t>Navi</t>
  </si>
  <si>
    <t>Nordlicht</t>
  </si>
  <si>
    <t>Hedi</t>
  </si>
  <si>
    <t>LN_TYP</t>
  </si>
  <si>
    <t>GLN</t>
  </si>
  <si>
    <t>HJ</t>
  </si>
  <si>
    <t>HJ1</t>
  </si>
  <si>
    <t>SL_ZUORDNUNG</t>
  </si>
  <si>
    <t>GLN_SLOT</t>
  </si>
  <si>
    <t>NACHTERMIN_VON</t>
  </si>
  <si>
    <t>NOTEN_RUNDEN</t>
  </si>
  <si>
    <t>1</t>
  </si>
  <si>
    <t>Schüler</t>
  </si>
  <si>
    <t>Gesamt</t>
  </si>
  <si>
    <t>Note (0-15)</t>
  </si>
  <si>
    <t>Note (1-6)</t>
  </si>
  <si>
    <t>Ignoriert</t>
  </si>
  <si>
    <t>Anforderungsbereich</t>
  </si>
  <si>
    <t>Max. Punkte</t>
  </si>
  <si>
    <t>KLN</t>
  </si>
  <si>
    <t>SL3</t>
  </si>
  <si>
    <t>2</t>
  </si>
  <si>
    <t>3</t>
  </si>
  <si>
    <t>SL4</t>
  </si>
  <si>
    <t>HJ2</t>
  </si>
  <si>
    <t>4</t>
  </si>
  <si>
    <t>5</t>
  </si>
  <si>
    <t>6</t>
  </si>
  <si>
    <t>7</t>
  </si>
  <si>
    <t>8</t>
  </si>
  <si>
    <t>9</t>
  </si>
  <si>
    <t>10</t>
  </si>
  <si>
    <t>GLN1</t>
  </si>
  <si>
    <t>Ø (gewichtet)</t>
  </si>
  <si>
    <t>Zeugnisnote</t>
  </si>
  <si>
    <t>Verhalten</t>
  </si>
  <si>
    <t>Mitarbeit</t>
  </si>
  <si>
    <t>SÜ Krypto</t>
  </si>
  <si>
    <t>Untergrenze (%)</t>
  </si>
  <si>
    <t>MDL_SL1</t>
  </si>
  <si>
    <t>MDL_SL2</t>
  </si>
  <si>
    <t>MDL_SL3</t>
  </si>
  <si>
    <t>MDL_SL4</t>
  </si>
  <si>
    <t>SL_Act_SL1</t>
  </si>
  <si>
    <t>SL_Act_SL2</t>
  </si>
  <si>
    <t>SL_Act_SL3</t>
  </si>
  <si>
    <t>SL_Act_SL4</t>
  </si>
  <si>
    <t>HJ_Act_HJ1</t>
  </si>
  <si>
    <t>HJ_Act_HJ2</t>
  </si>
  <si>
    <t>SJ_Act</t>
  </si>
  <si>
    <t>KURS_MDL_HJ1_1</t>
  </si>
  <si>
    <t>KURS_MDL_HJ1_2</t>
  </si>
  <si>
    <t>KURS_MDL_HJ2_1</t>
  </si>
  <si>
    <t>KURS_MDL_HJ2_2</t>
  </si>
  <si>
    <t>KURS_MDL_HJ3_1</t>
  </si>
  <si>
    <t>KURS_MDL_HJ3_2</t>
  </si>
  <si>
    <t>KURS_MDL_HJ4_1</t>
  </si>
  <si>
    <t>KURS_MDL_HJ4_2</t>
  </si>
  <si>
    <t>KURS_HJ_Act_HJ3</t>
  </si>
  <si>
    <t>KURS_HJ_Act_HJ4</t>
  </si>
  <si>
    <t>VERH_HJ1</t>
  </si>
  <si>
    <t>VERH_HJ2</t>
  </si>
  <si>
    <t>MIT_HJ1</t>
  </si>
  <si>
    <t>MIT_HJ2</t>
  </si>
  <si>
    <t>Farnheim, Goro</t>
  </si>
  <si>
    <t>Silbersee, Caro</t>
  </si>
  <si>
    <t>Adlerquell, Weya</t>
  </si>
  <si>
    <t>Talwind, Demi</t>
  </si>
  <si>
    <t>Nachtigall, Alma</t>
  </si>
  <si>
    <t>Kieselhain, Tino</t>
  </si>
  <si>
    <t>Talwind, Goro</t>
  </si>
  <si>
    <t>Kornfeld, Nerio</t>
  </si>
  <si>
    <t>Rosenquarz, Vito</t>
  </si>
  <si>
    <t>Seidenberg, Miro</t>
  </si>
  <si>
    <t>Kieselhain, Pia</t>
  </si>
  <si>
    <t>Blaustein, Miro</t>
  </si>
  <si>
    <t>Bergquell, Ari</t>
  </si>
  <si>
    <t>Talwind, Jari</t>
  </si>
  <si>
    <t>Farnheim, Bino</t>
  </si>
  <si>
    <t>Kieselhain, Uma</t>
  </si>
  <si>
    <t>Tannenhof, Gina</t>
  </si>
  <si>
    <t>Lindenfels, Miro</t>
  </si>
  <si>
    <t>Adlerquell, Bino</t>
  </si>
  <si>
    <t>Bergquell, Caro</t>
  </si>
  <si>
    <t>Waldhauch, Gina</t>
  </si>
  <si>
    <t>Silbersee, Miro</t>
  </si>
  <si>
    <t>Winterborn, Raya</t>
  </si>
  <si>
    <t>Rosenquarz, Ivo</t>
  </si>
  <si>
    <t>Mondenfels, Alma</t>
  </si>
  <si>
    <t>Wolkenberg, Navi</t>
  </si>
  <si>
    <t>Nordlicht, Navi</t>
  </si>
  <si>
    <t>Lindenfels, Hedi</t>
  </si>
  <si>
    <t>Einstellung</t>
  </si>
  <si>
    <t>Wert</t>
  </si>
  <si>
    <t>sl_mdl_pct</t>
  </si>
  <si>
    <t>sl_kln_pct</t>
  </si>
  <si>
    <t>hj_gln_w</t>
  </si>
  <si>
    <t>hj_sl1_w</t>
  </si>
  <si>
    <t>hj_sl2_w</t>
  </si>
  <si>
    <t>modus</t>
  </si>
  <si>
    <t>klasse</t>
  </si>
  <si>
    <t>kurs_typ</t>
  </si>
  <si>
    <t>GK</t>
  </si>
  <si>
    <t>kurs_stunden</t>
  </si>
  <si>
    <t>kurs_gln_pct</t>
  </si>
  <si>
    <t>kurs_mdl_pct</t>
  </si>
  <si>
    <t>0x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</si>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</sst>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rgb="FF1F4E79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F4F4F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3" fillId="2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O6" sqref="O6"/>
    </sheetView>
  </sheetViews>
  <sheetFormatPr baseColWidth="10" defaultColWidth="9.140625" defaultRowHeight="15" x14ac:dyDescent="0.25"/>
  <cols>
    <col min="1" max="1" width="12" customWidth="1"/>
    <col min="2" max="2" width="9" customWidth="1"/>
    <col min="3" max="3" width="15" customWidth="1"/>
    <col min="4" max="6" width="16" customWidth="1"/>
    <col min="7" max="9" width="19" customWidth="1"/>
  </cols>
  <sheetData>
    <row r="1" spans="1:9" ht="15.75" x14ac:dyDescent="0.25">
      <c r="A1" s="1" t="s">
        <v>0</v>
      </c>
      <c r="B1" s="2" t="s">
        <v>154</v>
      </c>
      <c r="C1" s="1" t="s">
        <v>1</v>
      </c>
      <c r="D1" s="2" t="s">
        <v>155</v>
      </c>
      <c r="E1" s="1" t="s">
        <v>2</v>
      </c>
      <c r="F1" s="2">
        <v>9899</v>
      </c>
    </row>
    <row r="2" spans="1:9" ht="30" customHeight="1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</row>
    <row r="3" spans="1:9" x14ac:dyDescent="0.25">
      <c r="A3" t="s">
        <v>12</v>
      </c>
      <c r="B3" t="s">
        <v>13</v>
      </c>
      <c r="C3" t="s">
        <v>14</v>
      </c>
    </row>
    <row r="4" spans="1:9" x14ac:dyDescent="0.25">
      <c r="A4" t="s">
        <v>15</v>
      </c>
      <c r="B4" t="s">
        <v>16</v>
      </c>
      <c r="C4" t="s">
        <v>14</v>
      </c>
    </row>
    <row r="5" spans="1:9" x14ac:dyDescent="0.25">
      <c r="A5" t="s">
        <v>17</v>
      </c>
      <c r="B5" t="s">
        <v>18</v>
      </c>
      <c r="C5" t="s">
        <v>14</v>
      </c>
    </row>
    <row r="6" spans="1:9" x14ac:dyDescent="0.25">
      <c r="A6" t="s">
        <v>19</v>
      </c>
      <c r="B6" t="s">
        <v>20</v>
      </c>
      <c r="C6" t="s">
        <v>38</v>
      </c>
      <c r="E6" t="s">
        <v>54</v>
      </c>
    </row>
    <row r="7" spans="1:9" x14ac:dyDescent="0.25">
      <c r="A7" t="s">
        <v>21</v>
      </c>
      <c r="B7" t="s">
        <v>22</v>
      </c>
      <c r="C7" t="s">
        <v>14</v>
      </c>
    </row>
    <row r="8" spans="1:9" x14ac:dyDescent="0.25">
      <c r="A8" t="s">
        <v>23</v>
      </c>
      <c r="B8" t="s">
        <v>24</v>
      </c>
      <c r="C8" t="s">
        <v>14</v>
      </c>
    </row>
    <row r="9" spans="1:9" x14ac:dyDescent="0.25">
      <c r="A9" t="s">
        <v>19</v>
      </c>
      <c r="B9" t="s">
        <v>13</v>
      </c>
      <c r="C9" t="s">
        <v>14</v>
      </c>
    </row>
    <row r="10" spans="1:9" x14ac:dyDescent="0.25">
      <c r="A10" t="s">
        <v>25</v>
      </c>
      <c r="B10" t="s">
        <v>26</v>
      </c>
      <c r="C10" t="s">
        <v>14</v>
      </c>
    </row>
    <row r="11" spans="1:9" x14ac:dyDescent="0.25">
      <c r="A11" t="s">
        <v>27</v>
      </c>
      <c r="B11" t="s">
        <v>28</v>
      </c>
      <c r="C11" t="s">
        <v>14</v>
      </c>
    </row>
    <row r="12" spans="1:9" x14ac:dyDescent="0.25">
      <c r="A12" t="s">
        <v>29</v>
      </c>
      <c r="B12" t="s">
        <v>30</v>
      </c>
      <c r="C12" t="s">
        <v>14</v>
      </c>
    </row>
    <row r="13" spans="1:9" x14ac:dyDescent="0.25">
      <c r="A13" t="s">
        <v>23</v>
      </c>
      <c r="B13" t="s">
        <v>31</v>
      </c>
      <c r="C13" t="s">
        <v>14</v>
      </c>
    </row>
    <row r="14" spans="1:9" x14ac:dyDescent="0.25">
      <c r="A14" t="s">
        <v>32</v>
      </c>
      <c r="B14" t="s">
        <v>30</v>
      </c>
      <c r="C14" t="s">
        <v>14</v>
      </c>
    </row>
    <row r="15" spans="1:9" x14ac:dyDescent="0.25">
      <c r="A15" t="s">
        <v>33</v>
      </c>
      <c r="B15" t="s">
        <v>34</v>
      </c>
      <c r="C15" t="s">
        <v>14</v>
      </c>
    </row>
    <row r="16" spans="1:9" x14ac:dyDescent="0.25">
      <c r="A16" t="s">
        <v>19</v>
      </c>
      <c r="B16" t="s">
        <v>35</v>
      </c>
      <c r="C16" t="s">
        <v>14</v>
      </c>
    </row>
    <row r="17" spans="1:3" x14ac:dyDescent="0.25">
      <c r="A17" t="s">
        <v>12</v>
      </c>
      <c r="B17" t="s">
        <v>36</v>
      </c>
      <c r="C17" t="s">
        <v>14</v>
      </c>
    </row>
    <row r="18" spans="1:3" x14ac:dyDescent="0.25">
      <c r="A18" t="s">
        <v>23</v>
      </c>
      <c r="B18" t="s">
        <v>37</v>
      </c>
      <c r="C18" t="s">
        <v>14</v>
      </c>
    </row>
    <row r="19" spans="1:3" x14ac:dyDescent="0.25">
      <c r="A19" t="s">
        <v>39</v>
      </c>
      <c r="B19" t="s">
        <v>40</v>
      </c>
      <c r="C19" t="s">
        <v>14</v>
      </c>
    </row>
    <row r="20" spans="1:3" x14ac:dyDescent="0.25">
      <c r="A20" t="s">
        <v>41</v>
      </c>
      <c r="B20" t="s">
        <v>30</v>
      </c>
      <c r="C20" t="s">
        <v>14</v>
      </c>
    </row>
    <row r="21" spans="1:3" x14ac:dyDescent="0.25">
      <c r="A21" t="s">
        <v>17</v>
      </c>
      <c r="B21" t="s">
        <v>36</v>
      </c>
      <c r="C21" t="s">
        <v>14</v>
      </c>
    </row>
    <row r="22" spans="1:3" x14ac:dyDescent="0.25">
      <c r="A22" t="s">
        <v>33</v>
      </c>
      <c r="B22" t="s">
        <v>16</v>
      </c>
      <c r="C22" t="s">
        <v>14</v>
      </c>
    </row>
    <row r="23" spans="1:3" x14ac:dyDescent="0.25">
      <c r="A23" t="s">
        <v>42</v>
      </c>
      <c r="B23" t="s">
        <v>40</v>
      </c>
      <c r="C23" t="s">
        <v>14</v>
      </c>
    </row>
    <row r="24" spans="1:3" x14ac:dyDescent="0.25">
      <c r="A24" t="s">
        <v>15</v>
      </c>
      <c r="B24" t="s">
        <v>30</v>
      </c>
      <c r="C24" t="s">
        <v>14</v>
      </c>
    </row>
    <row r="25" spans="1:3" x14ac:dyDescent="0.25">
      <c r="A25" t="s">
        <v>43</v>
      </c>
      <c r="B25" t="s">
        <v>44</v>
      </c>
      <c r="C25" t="s">
        <v>14</v>
      </c>
    </row>
    <row r="26" spans="1:3" x14ac:dyDescent="0.25">
      <c r="A26" t="s">
        <v>27</v>
      </c>
      <c r="B26" t="s">
        <v>45</v>
      </c>
      <c r="C26" t="s">
        <v>14</v>
      </c>
    </row>
    <row r="27" spans="1:3" x14ac:dyDescent="0.25">
      <c r="A27" t="s">
        <v>46</v>
      </c>
      <c r="B27" t="s">
        <v>22</v>
      </c>
      <c r="C27" t="s">
        <v>14</v>
      </c>
    </row>
    <row r="28" spans="1:3" x14ac:dyDescent="0.25">
      <c r="A28" t="s">
        <v>47</v>
      </c>
      <c r="B28" t="s">
        <v>48</v>
      </c>
      <c r="C28" t="s">
        <v>14</v>
      </c>
    </row>
    <row r="29" spans="1:3" x14ac:dyDescent="0.25">
      <c r="A29" t="s">
        <v>49</v>
      </c>
      <c r="B29" t="s">
        <v>48</v>
      </c>
      <c r="C29" t="s">
        <v>14</v>
      </c>
    </row>
    <row r="30" spans="1:3" x14ac:dyDescent="0.25">
      <c r="A30" t="s">
        <v>41</v>
      </c>
      <c r="B30" t="s">
        <v>50</v>
      </c>
      <c r="C3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workbookViewId="0"/>
  </sheetViews>
  <sheetFormatPr baseColWidth="10" defaultColWidth="9.140625" defaultRowHeight="15" x14ac:dyDescent="0.25"/>
  <cols>
    <col min="1" max="1" width="21" customWidth="1"/>
    <col min="2" max="2" width="8" customWidth="1"/>
    <col min="3" max="3" width="13" customWidth="1"/>
    <col min="4" max="4" width="12" customWidth="1"/>
    <col min="5" max="5" width="14" customWidth="1"/>
    <col min="6" max="6" width="8" customWidth="1"/>
    <col min="7" max="7" width="10" customWidth="1"/>
    <col min="8" max="8" width="8" customWidth="1"/>
    <col min="9" max="9" width="16" customWidth="1"/>
    <col min="10" max="10" width="8" customWidth="1"/>
    <col min="11" max="11" width="14" customWidth="1"/>
    <col min="12" max="12" width="8" customWidth="1"/>
  </cols>
  <sheetData>
    <row r="1" spans="1:12" x14ac:dyDescent="0.25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/>
      <c r="G1" s="4" t="s">
        <v>56</v>
      </c>
      <c r="H1" s="4"/>
      <c r="I1" s="4" t="s">
        <v>57</v>
      </c>
      <c r="J1" s="4"/>
      <c r="K1" s="4" t="s">
        <v>58</v>
      </c>
      <c r="L1" s="4" t="s">
        <v>59</v>
      </c>
    </row>
    <row r="2" spans="1:12" x14ac:dyDescent="0.25">
      <c r="A2" s="5" t="s">
        <v>60</v>
      </c>
      <c r="B2" s="5" t="s">
        <v>61</v>
      </c>
      <c r="C2" s="5" t="s">
        <v>62</v>
      </c>
      <c r="D2" s="5" t="s">
        <v>63</v>
      </c>
      <c r="E2" s="5" t="s">
        <v>64</v>
      </c>
    </row>
    <row r="3" spans="1:12" x14ac:dyDescent="0.25">
      <c r="A3" s="6" t="s">
        <v>65</v>
      </c>
      <c r="B3" s="6"/>
      <c r="C3" s="6"/>
      <c r="D3" s="6"/>
      <c r="E3" s="6"/>
    </row>
    <row r="4" spans="1:12" x14ac:dyDescent="0.25">
      <c r="A4" s="7" t="s">
        <v>66</v>
      </c>
      <c r="B4" s="7"/>
      <c r="C4" s="7"/>
      <c r="D4" s="7"/>
      <c r="E4" s="7"/>
    </row>
    <row r="5" spans="1:12" x14ac:dyDescent="0.25">
      <c r="A5" t="str">
        <f>Stammdaten!A3&amp;", "&amp;Stammdaten!B3</f>
        <v>Farnheim, Goro</v>
      </c>
      <c r="C5" s="8"/>
      <c r="D5" s="8"/>
    </row>
    <row r="6" spans="1:12" x14ac:dyDescent="0.25">
      <c r="A6" s="9" t="str">
        <f>Stammdaten!A4&amp;", "&amp;Stammdaten!B4</f>
        <v>Silbersee, Caro</v>
      </c>
      <c r="B6" s="9"/>
      <c r="C6" s="8"/>
      <c r="D6" s="8"/>
      <c r="E6" s="9"/>
    </row>
    <row r="7" spans="1:12" x14ac:dyDescent="0.25">
      <c r="A7" t="str">
        <f>Stammdaten!A5&amp;", "&amp;Stammdaten!B5</f>
        <v>Adlerquell, Weya</v>
      </c>
      <c r="C7" s="8"/>
      <c r="D7" s="8"/>
    </row>
    <row r="8" spans="1:12" x14ac:dyDescent="0.25">
      <c r="A8" s="9" t="str">
        <f>Stammdaten!A6&amp;", "&amp;Stammdaten!B6</f>
        <v>Talwind, Demi</v>
      </c>
      <c r="B8" s="9"/>
      <c r="C8" s="8"/>
      <c r="D8" s="8"/>
      <c r="E8" s="9"/>
    </row>
    <row r="9" spans="1:12" x14ac:dyDescent="0.25">
      <c r="A9" t="str">
        <f>Stammdaten!A7&amp;", "&amp;Stammdaten!B7</f>
        <v>Nachtigall, Alma</v>
      </c>
      <c r="C9" s="8"/>
      <c r="D9" s="8"/>
    </row>
    <row r="10" spans="1:12" x14ac:dyDescent="0.25">
      <c r="A10" s="9" t="str">
        <f>Stammdaten!A8&amp;", "&amp;Stammdaten!B8</f>
        <v>Kieselhain, Tino</v>
      </c>
      <c r="B10" s="9"/>
      <c r="C10" s="8"/>
      <c r="D10" s="8"/>
      <c r="E10" s="9"/>
    </row>
    <row r="11" spans="1:12" x14ac:dyDescent="0.25">
      <c r="A11" t="str">
        <f>Stammdaten!A9&amp;", "&amp;Stammdaten!B9</f>
        <v>Talwind, Goro</v>
      </c>
      <c r="C11" s="8"/>
      <c r="D11" s="8"/>
    </row>
    <row r="12" spans="1:12" x14ac:dyDescent="0.25">
      <c r="A12" s="9" t="str">
        <f>Stammdaten!A10&amp;", "&amp;Stammdaten!B10</f>
        <v>Kornfeld, Nerio</v>
      </c>
      <c r="B12" s="9"/>
      <c r="C12" s="8"/>
      <c r="D12" s="8"/>
      <c r="E12" s="9"/>
    </row>
    <row r="13" spans="1:12" x14ac:dyDescent="0.25">
      <c r="A13" t="str">
        <f>Stammdaten!A11&amp;", "&amp;Stammdaten!B11</f>
        <v>Rosenquarz, Vito</v>
      </c>
      <c r="C13" s="8"/>
      <c r="D13" s="8"/>
    </row>
    <row r="14" spans="1:12" x14ac:dyDescent="0.25">
      <c r="A14" s="9" t="str">
        <f>Stammdaten!A12&amp;", "&amp;Stammdaten!B12</f>
        <v>Seidenberg, Miro</v>
      </c>
      <c r="B14" s="9"/>
      <c r="C14" s="8"/>
      <c r="D14" s="8"/>
      <c r="E14" s="9"/>
    </row>
    <row r="15" spans="1:12" x14ac:dyDescent="0.25">
      <c r="A15" t="str">
        <f>Stammdaten!A13&amp;", "&amp;Stammdaten!B13</f>
        <v>Kieselhain, Pia</v>
      </c>
      <c r="C15" s="8"/>
      <c r="D15" s="8"/>
    </row>
    <row r="16" spans="1:12" x14ac:dyDescent="0.25">
      <c r="A16" s="9" t="str">
        <f>Stammdaten!A14&amp;", "&amp;Stammdaten!B14</f>
        <v>Blaustein, Miro</v>
      </c>
      <c r="B16" s="9"/>
      <c r="C16" s="8"/>
      <c r="D16" s="8"/>
      <c r="E16" s="9"/>
    </row>
    <row r="17" spans="1:5" x14ac:dyDescent="0.25">
      <c r="A17" t="str">
        <f>Stammdaten!A15&amp;", "&amp;Stammdaten!B15</f>
        <v>Bergquell, Ari</v>
      </c>
      <c r="C17" s="8"/>
      <c r="D17" s="8"/>
    </row>
    <row r="18" spans="1:5" x14ac:dyDescent="0.25">
      <c r="A18" s="9" t="str">
        <f>Stammdaten!A16&amp;", "&amp;Stammdaten!B16</f>
        <v>Talwind, Jari</v>
      </c>
      <c r="B18" s="9"/>
      <c r="C18" s="8"/>
      <c r="D18" s="8"/>
      <c r="E18" s="9"/>
    </row>
    <row r="19" spans="1:5" x14ac:dyDescent="0.25">
      <c r="A19" t="str">
        <f>Stammdaten!A17&amp;", "&amp;Stammdaten!B17</f>
        <v>Farnheim, Bino</v>
      </c>
      <c r="C19" s="8"/>
      <c r="D19" s="8"/>
    </row>
    <row r="20" spans="1:5" x14ac:dyDescent="0.25">
      <c r="A20" s="9" t="str">
        <f>Stammdaten!A18&amp;", "&amp;Stammdaten!B18</f>
        <v>Kieselhain, Uma</v>
      </c>
      <c r="B20" s="9"/>
      <c r="C20" s="8"/>
      <c r="D20" s="8"/>
      <c r="E20" s="9"/>
    </row>
    <row r="21" spans="1:5" x14ac:dyDescent="0.25">
      <c r="A21" t="str">
        <f>Stammdaten!A19&amp;", "&amp;Stammdaten!B19</f>
        <v>Tannenhof, Gina</v>
      </c>
      <c r="C21" s="8"/>
      <c r="D21" s="8"/>
    </row>
    <row r="22" spans="1:5" x14ac:dyDescent="0.25">
      <c r="A22" s="9" t="str">
        <f>Stammdaten!A20&amp;", "&amp;Stammdaten!B20</f>
        <v>Lindenfels, Miro</v>
      </c>
      <c r="B22" s="9"/>
      <c r="C22" s="8"/>
      <c r="D22" s="8"/>
      <c r="E22" s="9"/>
    </row>
    <row r="23" spans="1:5" x14ac:dyDescent="0.25">
      <c r="A23" t="str">
        <f>Stammdaten!A21&amp;", "&amp;Stammdaten!B21</f>
        <v>Adlerquell, Bino</v>
      </c>
      <c r="C23" s="8"/>
      <c r="D23" s="8"/>
    </row>
    <row r="24" spans="1:5" x14ac:dyDescent="0.25">
      <c r="A24" s="9" t="str">
        <f>Stammdaten!A22&amp;", "&amp;Stammdaten!B22</f>
        <v>Bergquell, Caro</v>
      </c>
      <c r="B24" s="9"/>
      <c r="C24" s="8"/>
      <c r="D24" s="8"/>
      <c r="E24" s="9"/>
    </row>
    <row r="25" spans="1:5" x14ac:dyDescent="0.25">
      <c r="A25" t="str">
        <f>Stammdaten!A23&amp;", "&amp;Stammdaten!B23</f>
        <v>Waldhauch, Gina</v>
      </c>
      <c r="C25" s="8"/>
      <c r="D25" s="8"/>
    </row>
    <row r="26" spans="1:5" x14ac:dyDescent="0.25">
      <c r="A26" s="9" t="str">
        <f>Stammdaten!A24&amp;", "&amp;Stammdaten!B24</f>
        <v>Silbersee, Miro</v>
      </c>
      <c r="B26" s="9"/>
      <c r="C26" s="8"/>
      <c r="D26" s="8"/>
      <c r="E26" s="9"/>
    </row>
    <row r="27" spans="1:5" x14ac:dyDescent="0.25">
      <c r="A27" t="str">
        <f>Stammdaten!A25&amp;", "&amp;Stammdaten!B25</f>
        <v>Winterborn, Raya</v>
      </c>
      <c r="C27" s="8"/>
      <c r="D27" s="8"/>
    </row>
    <row r="28" spans="1:5" x14ac:dyDescent="0.25">
      <c r="A28" s="9" t="str">
        <f>Stammdaten!A26&amp;", "&amp;Stammdaten!B26</f>
        <v>Rosenquarz, Ivo</v>
      </c>
      <c r="B28" s="9"/>
      <c r="C28" s="8"/>
      <c r="D28" s="8"/>
      <c r="E28" s="9"/>
    </row>
    <row r="29" spans="1:5" x14ac:dyDescent="0.25">
      <c r="A29" t="str">
        <f>Stammdaten!A27&amp;", "&amp;Stammdaten!B27</f>
        <v>Mondenfels, Alma</v>
      </c>
      <c r="C29" s="8"/>
      <c r="D29" s="8"/>
    </row>
    <row r="30" spans="1:5" x14ac:dyDescent="0.25">
      <c r="A30" s="9" t="str">
        <f>Stammdaten!A28&amp;", "&amp;Stammdaten!B28</f>
        <v>Wolkenberg, Navi</v>
      </c>
      <c r="B30" s="9"/>
      <c r="C30" s="8"/>
      <c r="D30" s="8"/>
      <c r="E30" s="9"/>
    </row>
    <row r="31" spans="1:5" x14ac:dyDescent="0.25">
      <c r="A31" t="str">
        <f>Stammdaten!A29&amp;", "&amp;Stammdaten!B29</f>
        <v>Nordlicht, Navi</v>
      </c>
      <c r="C31" s="8"/>
      <c r="D31" s="8"/>
    </row>
    <row r="32" spans="1:5" x14ac:dyDescent="0.25">
      <c r="A32" s="9" t="str">
        <f>Stammdaten!A30&amp;", "&amp;Stammdaten!B30</f>
        <v>Lindenfels, Hedi</v>
      </c>
      <c r="B32" s="9"/>
      <c r="C32" s="8"/>
      <c r="D32" s="8"/>
      <c r="E32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workbookViewId="0"/>
  </sheetViews>
  <sheetFormatPr baseColWidth="10" defaultColWidth="9.140625" defaultRowHeight="15" x14ac:dyDescent="0.25"/>
  <cols>
    <col min="1" max="1" width="21" customWidth="1"/>
    <col min="2" max="4" width="8" customWidth="1"/>
    <col min="5" max="5" width="14" customWidth="1"/>
    <col min="6" max="6" width="13" customWidth="1"/>
    <col min="7" max="7" width="12" customWidth="1"/>
    <col min="8" max="8" width="11" customWidth="1"/>
    <col min="9" max="9" width="16" customWidth="1"/>
    <col min="10" max="10" width="8" customWidth="1"/>
    <col min="11" max="11" width="14" customWidth="1"/>
    <col min="12" max="12" width="8" customWidth="1"/>
  </cols>
  <sheetData>
    <row r="1" spans="1:12" x14ac:dyDescent="0.25">
      <c r="A1" s="4" t="s">
        <v>51</v>
      </c>
      <c r="B1" s="4" t="s">
        <v>67</v>
      </c>
      <c r="C1" s="4" t="s">
        <v>53</v>
      </c>
      <c r="D1" s="4"/>
      <c r="E1" s="4" t="s">
        <v>55</v>
      </c>
      <c r="F1" s="4" t="s">
        <v>68</v>
      </c>
      <c r="G1" s="4" t="s">
        <v>56</v>
      </c>
      <c r="H1" s="4"/>
      <c r="I1" s="4" t="s">
        <v>57</v>
      </c>
      <c r="J1" s="4"/>
      <c r="K1" s="4" t="s">
        <v>58</v>
      </c>
      <c r="L1" s="4" t="s">
        <v>59</v>
      </c>
    </row>
    <row r="2" spans="1:12" x14ac:dyDescent="0.25">
      <c r="A2" s="5" t="s">
        <v>60</v>
      </c>
      <c r="B2" s="5" t="s">
        <v>59</v>
      </c>
      <c r="C2" s="5" t="s">
        <v>69</v>
      </c>
      <c r="D2" s="5" t="s">
        <v>70</v>
      </c>
      <c r="E2" s="5" t="s">
        <v>61</v>
      </c>
      <c r="F2" s="5" t="s">
        <v>62</v>
      </c>
      <c r="G2" s="5" t="s">
        <v>63</v>
      </c>
      <c r="H2" s="5" t="s">
        <v>64</v>
      </c>
    </row>
    <row r="3" spans="1:12" x14ac:dyDescent="0.25">
      <c r="A3" s="6" t="s">
        <v>65</v>
      </c>
      <c r="B3" s="6"/>
      <c r="C3" s="6"/>
      <c r="D3" s="6"/>
      <c r="E3" s="6"/>
      <c r="F3" s="6"/>
      <c r="G3" s="6"/>
      <c r="H3" s="6"/>
    </row>
    <row r="4" spans="1:12" x14ac:dyDescent="0.25">
      <c r="A4" s="7" t="s">
        <v>66</v>
      </c>
      <c r="B4" s="7">
        <v>3.33</v>
      </c>
      <c r="C4" s="7">
        <v>1.67</v>
      </c>
      <c r="D4" s="7">
        <v>5</v>
      </c>
      <c r="E4" s="7">
        <f t="shared" ref="E4:E31" si="0">SUM(B4:D4)</f>
        <v>10</v>
      </c>
      <c r="F4" s="7"/>
      <c r="G4" s="7"/>
      <c r="H4" s="7"/>
    </row>
    <row r="5" spans="1:12" x14ac:dyDescent="0.25">
      <c r="A5" t="str">
        <f>Stammdaten!A3&amp;", "&amp;Stammdaten!B3</f>
        <v>Farnheim, Goro</v>
      </c>
      <c r="B5">
        <v>0</v>
      </c>
      <c r="C5">
        <v>1.67</v>
      </c>
      <c r="D5">
        <v>5</v>
      </c>
      <c r="E5">
        <f t="shared" si="0"/>
        <v>6.67</v>
      </c>
      <c r="F5" s="8">
        <f>IF(E4=0,0,IF((E5/E4)&gt;=0.95,15,IF((E5/E4)&gt;=0.9,14,IF((E5/E4)&gt;=0.85,13,IF((E5/E4)&gt;=0.8,12,IF((E5/E4)&gt;=0.75,11,IF((E5/E4)&gt;=0.7,10,IF((E5/E4)&gt;=0.65,9,IF((E5/E4)&gt;=0.6,8,IF((E5/E4)&gt;=0.55,7,IF((E5/E4)&gt;=0.5,6,IF((E5/E4)&gt;=0.45,5,IF((E5/E4)&gt;=0.4,4,IF((E5/E4)&gt;=0.33,3,IF((E5/E4)&gt;=0.27,2,IF((E5/E4)&gt;=0.2,1,0))))))))))))))))</f>
        <v>9</v>
      </c>
      <c r="G5" s="8">
        <f t="shared" ref="G5:G31" si="1">IF(F5&gt;=13,1,IF(F5&gt;=10,2,IF(F5&gt;=7,3,IF(F5&gt;=4,4,IF(F5&gt;=1,5,6)))))</f>
        <v>3</v>
      </c>
    </row>
    <row r="6" spans="1:12" x14ac:dyDescent="0.25">
      <c r="A6" s="9" t="str">
        <f>Stammdaten!A4&amp;", "&amp;Stammdaten!B4</f>
        <v>Silbersee, Caro</v>
      </c>
      <c r="B6" s="9">
        <v>3.33</v>
      </c>
      <c r="C6" s="9">
        <v>1.67</v>
      </c>
      <c r="D6" s="9">
        <v>5</v>
      </c>
      <c r="E6" s="9">
        <f t="shared" si="0"/>
        <v>10</v>
      </c>
      <c r="F6" s="8">
        <f>IF(E4=0,0,IF((E6/E4)&gt;=0.95,15,IF((E6/E4)&gt;=0.9,14,IF((E6/E4)&gt;=0.85,13,IF((E6/E4)&gt;=0.8,12,IF((E6/E4)&gt;=0.75,11,IF((E6/E4)&gt;=0.7,10,IF((E6/E4)&gt;=0.65,9,IF((E6/E4)&gt;=0.6,8,IF((E6/E4)&gt;=0.55,7,IF((E6/E4)&gt;=0.5,6,IF((E6/E4)&gt;=0.45,5,IF((E6/E4)&gt;=0.4,4,IF((E6/E4)&gt;=0.33,3,IF((E6/E4)&gt;=0.27,2,IF((E6/E4)&gt;=0.2,1,0))))))))))))))))</f>
        <v>15</v>
      </c>
      <c r="G6" s="8">
        <f t="shared" si="1"/>
        <v>1</v>
      </c>
      <c r="H6" s="9"/>
    </row>
    <row r="7" spans="1:12" x14ac:dyDescent="0.25">
      <c r="A7" t="str">
        <f>Stammdaten!A5&amp;", "&amp;Stammdaten!B5</f>
        <v>Adlerquell, Weya</v>
      </c>
      <c r="E7">
        <f t="shared" si="0"/>
        <v>0</v>
      </c>
      <c r="F7" s="8">
        <f>IF(E4=0,0,IF((E7/E4)&gt;=0.95,15,IF((E7/E4)&gt;=0.9,14,IF((E7/E4)&gt;=0.85,13,IF((E7/E4)&gt;=0.8,12,IF((E7/E4)&gt;=0.75,11,IF((E7/E4)&gt;=0.7,10,IF((E7/E4)&gt;=0.65,9,IF((E7/E4)&gt;=0.6,8,IF((E7/E4)&gt;=0.55,7,IF((E7/E4)&gt;=0.5,6,IF((E7/E4)&gt;=0.45,5,IF((E7/E4)&gt;=0.4,4,IF((E7/E4)&gt;=0.33,3,IF((E7/E4)&gt;=0.27,2,IF((E7/E4)&gt;=0.2,1,0))))))))))))))))</f>
        <v>0</v>
      </c>
      <c r="G7" s="8">
        <f t="shared" si="1"/>
        <v>6</v>
      </c>
    </row>
    <row r="8" spans="1:12" x14ac:dyDescent="0.25">
      <c r="A8" s="9" t="str">
        <f>Stammdaten!A6&amp;", "&amp;Stammdaten!B6</f>
        <v>Talwind, Demi</v>
      </c>
      <c r="B8" s="9">
        <v>0</v>
      </c>
      <c r="C8" s="9">
        <v>0</v>
      </c>
      <c r="D8" s="9">
        <v>5</v>
      </c>
      <c r="E8" s="9">
        <f t="shared" si="0"/>
        <v>5</v>
      </c>
      <c r="F8" s="8">
        <f>IF(E4=0,0,IF((E8/E4)&gt;=0.95,15,IF((E8/E4)&gt;=0.9,14,IF((E8/E4)&gt;=0.85,13,IF((E8/E4)&gt;=0.8,12,IF((E8/E4)&gt;=0.75,11,IF((E8/E4)&gt;=0.7,10,IF((E8/E4)&gt;=0.65,9,IF((E8/E4)&gt;=0.6,8,IF((E8/E4)&gt;=0.55,7,IF((E8/E4)&gt;=0.5,6,IF((E8/E4)&gt;=0.45,5,IF((E8/E4)&gt;=0.4,4,IF((E8/E4)&gt;=0.33,3,IF((E8/E4)&gt;=0.27,2,IF((E8/E4)&gt;=0.2,1,0))))))))))))))))</f>
        <v>6</v>
      </c>
      <c r="G8" s="8">
        <f t="shared" si="1"/>
        <v>4</v>
      </c>
      <c r="H8" s="9"/>
    </row>
    <row r="9" spans="1:12" x14ac:dyDescent="0.25">
      <c r="A9" t="str">
        <f>Stammdaten!A7&amp;", "&amp;Stammdaten!B7</f>
        <v>Nachtigall, Alma</v>
      </c>
      <c r="B9">
        <v>0</v>
      </c>
      <c r="C9">
        <v>0.42</v>
      </c>
      <c r="D9">
        <v>5</v>
      </c>
      <c r="E9">
        <f t="shared" si="0"/>
        <v>5.42</v>
      </c>
      <c r="F9" s="8">
        <f>IF(E4=0,0,IF((E9/E4)&gt;=0.95,15,IF((E9/E4)&gt;=0.9,14,IF((E9/E4)&gt;=0.85,13,IF((E9/E4)&gt;=0.8,12,IF((E9/E4)&gt;=0.75,11,IF((E9/E4)&gt;=0.7,10,IF((E9/E4)&gt;=0.65,9,IF((E9/E4)&gt;=0.6,8,IF((E9/E4)&gt;=0.55,7,IF((E9/E4)&gt;=0.5,6,IF((E9/E4)&gt;=0.45,5,IF((E9/E4)&gt;=0.4,4,IF((E9/E4)&gt;=0.33,3,IF((E9/E4)&gt;=0.27,2,IF((E9/E4)&gt;=0.2,1,0))))))))))))))))</f>
        <v>6</v>
      </c>
      <c r="G9" s="8">
        <f t="shared" si="1"/>
        <v>4</v>
      </c>
    </row>
    <row r="10" spans="1:12" x14ac:dyDescent="0.25">
      <c r="A10" s="9" t="str">
        <f>Stammdaten!A8&amp;", "&amp;Stammdaten!B8</f>
        <v>Kieselhain, Tino</v>
      </c>
      <c r="B10" s="9">
        <v>3.33</v>
      </c>
      <c r="C10" s="9">
        <v>1.67</v>
      </c>
      <c r="D10" s="9">
        <v>4.5</v>
      </c>
      <c r="E10" s="9">
        <f t="shared" si="0"/>
        <v>9.5</v>
      </c>
      <c r="F10" s="8">
        <f>IF(E4=0,0,IF((E10/E4)&gt;=0.95,15,IF((E10/E4)&gt;=0.9,14,IF((E10/E4)&gt;=0.85,13,IF((E10/E4)&gt;=0.8,12,IF((E10/E4)&gt;=0.75,11,IF((E10/E4)&gt;=0.7,10,IF((E10/E4)&gt;=0.65,9,IF((E10/E4)&gt;=0.6,8,IF((E10/E4)&gt;=0.55,7,IF((E10/E4)&gt;=0.5,6,IF((E10/E4)&gt;=0.45,5,IF((E10/E4)&gt;=0.4,4,IF((E10/E4)&gt;=0.33,3,IF((E10/E4)&gt;=0.27,2,IF((E10/E4)&gt;=0.2,1,0))))))))))))))))</f>
        <v>15</v>
      </c>
      <c r="G10" s="8">
        <f t="shared" si="1"/>
        <v>1</v>
      </c>
      <c r="H10" s="9"/>
    </row>
    <row r="11" spans="1:12" x14ac:dyDescent="0.25">
      <c r="A11" t="str">
        <f>Stammdaten!A9&amp;", "&amp;Stammdaten!B9</f>
        <v>Talwind, Goro</v>
      </c>
      <c r="B11">
        <v>0</v>
      </c>
      <c r="C11">
        <v>0</v>
      </c>
      <c r="D11">
        <v>5</v>
      </c>
      <c r="E11">
        <f t="shared" si="0"/>
        <v>5</v>
      </c>
      <c r="F11" s="8">
        <f>IF(E4=0,0,IF((E11/E4)&gt;=0.95,15,IF((E11/E4)&gt;=0.9,14,IF((E11/E4)&gt;=0.85,13,IF((E11/E4)&gt;=0.8,12,IF((E11/E4)&gt;=0.75,11,IF((E11/E4)&gt;=0.7,10,IF((E11/E4)&gt;=0.65,9,IF((E11/E4)&gt;=0.6,8,IF((E11/E4)&gt;=0.55,7,IF((E11/E4)&gt;=0.5,6,IF((E11/E4)&gt;=0.45,5,IF((E11/E4)&gt;=0.4,4,IF((E11/E4)&gt;=0.33,3,IF((E11/E4)&gt;=0.27,2,IF((E11/E4)&gt;=0.2,1,0))))))))))))))))</f>
        <v>6</v>
      </c>
      <c r="G11" s="8">
        <f t="shared" si="1"/>
        <v>4</v>
      </c>
    </row>
    <row r="12" spans="1:12" x14ac:dyDescent="0.25">
      <c r="A12" s="9" t="str">
        <f>Stammdaten!A10&amp;", "&amp;Stammdaten!B10</f>
        <v>Kornfeld, Nerio</v>
      </c>
      <c r="B12" s="9">
        <v>3.33</v>
      </c>
      <c r="C12" s="9">
        <v>1.5</v>
      </c>
      <c r="D12" s="9">
        <v>5</v>
      </c>
      <c r="E12" s="9">
        <f t="shared" si="0"/>
        <v>9.83</v>
      </c>
      <c r="F12" s="8">
        <f>IF(E4=0,0,IF((E12/E4)&gt;=0.95,15,IF((E12/E4)&gt;=0.9,14,IF((E12/E4)&gt;=0.85,13,IF((E12/E4)&gt;=0.8,12,IF((E12/E4)&gt;=0.75,11,IF((E12/E4)&gt;=0.7,10,IF((E12/E4)&gt;=0.65,9,IF((E12/E4)&gt;=0.6,8,IF((E12/E4)&gt;=0.55,7,IF((E12/E4)&gt;=0.5,6,IF((E12/E4)&gt;=0.45,5,IF((E12/E4)&gt;=0.4,4,IF((E12/E4)&gt;=0.33,3,IF((E12/E4)&gt;=0.27,2,IF((E12/E4)&gt;=0.2,1,0))))))))))))))))</f>
        <v>15</v>
      </c>
      <c r="G12" s="8">
        <f t="shared" si="1"/>
        <v>1</v>
      </c>
      <c r="H12" s="9"/>
    </row>
    <row r="13" spans="1:12" x14ac:dyDescent="0.25">
      <c r="A13" t="str">
        <f>Stammdaten!A11&amp;", "&amp;Stammdaten!B11</f>
        <v>Rosenquarz, Vito</v>
      </c>
      <c r="B13">
        <v>3.33</v>
      </c>
      <c r="C13">
        <v>1.25</v>
      </c>
      <c r="D13">
        <v>0</v>
      </c>
      <c r="E13">
        <f t="shared" si="0"/>
        <v>4.58</v>
      </c>
      <c r="F13" s="8">
        <f>IF(E4=0,0,IF((E13/E4)&gt;=0.95,15,IF((E13/E4)&gt;=0.9,14,IF((E13/E4)&gt;=0.85,13,IF((E13/E4)&gt;=0.8,12,IF((E13/E4)&gt;=0.75,11,IF((E13/E4)&gt;=0.7,10,IF((E13/E4)&gt;=0.65,9,IF((E13/E4)&gt;=0.6,8,IF((E13/E4)&gt;=0.55,7,IF((E13/E4)&gt;=0.5,6,IF((E13/E4)&gt;=0.45,5,IF((E13/E4)&gt;=0.4,4,IF((E13/E4)&gt;=0.33,3,IF((E13/E4)&gt;=0.27,2,IF((E13/E4)&gt;=0.2,1,0))))))))))))))))</f>
        <v>5</v>
      </c>
      <c r="G13" s="8">
        <f t="shared" si="1"/>
        <v>4</v>
      </c>
    </row>
    <row r="14" spans="1:12" x14ac:dyDescent="0.25">
      <c r="A14" s="9" t="str">
        <f>Stammdaten!A12&amp;", "&amp;Stammdaten!B12</f>
        <v>Seidenberg, Miro</v>
      </c>
      <c r="B14" s="9">
        <v>0</v>
      </c>
      <c r="C14" s="9">
        <v>0.42</v>
      </c>
      <c r="D14" s="9">
        <v>4</v>
      </c>
      <c r="E14" s="9">
        <f t="shared" si="0"/>
        <v>4.42</v>
      </c>
      <c r="F14" s="8">
        <f>IF(E4=0,0,IF((E14/E4)&gt;=0.95,15,IF((E14/E4)&gt;=0.9,14,IF((E14/E4)&gt;=0.85,13,IF((E14/E4)&gt;=0.8,12,IF((E14/E4)&gt;=0.75,11,IF((E14/E4)&gt;=0.7,10,IF((E14/E4)&gt;=0.65,9,IF((E14/E4)&gt;=0.6,8,IF((E14/E4)&gt;=0.55,7,IF((E14/E4)&gt;=0.5,6,IF((E14/E4)&gt;=0.45,5,IF((E14/E4)&gt;=0.4,4,IF((E14/E4)&gt;=0.33,3,IF((E14/E4)&gt;=0.27,2,IF((E14/E4)&gt;=0.2,1,0))))))))))))))))</f>
        <v>4</v>
      </c>
      <c r="G14" s="8">
        <f t="shared" si="1"/>
        <v>4</v>
      </c>
      <c r="H14" s="9"/>
    </row>
    <row r="15" spans="1:12" x14ac:dyDescent="0.25">
      <c r="A15" t="str">
        <f>Stammdaten!A13&amp;", "&amp;Stammdaten!B13</f>
        <v>Kieselhain, Pia</v>
      </c>
      <c r="E15">
        <f t="shared" si="0"/>
        <v>0</v>
      </c>
      <c r="F15" s="8">
        <f>IF(E4=0,0,IF((E15/E4)&gt;=0.95,15,IF((E15/E4)&gt;=0.9,14,IF((E15/E4)&gt;=0.85,13,IF((E15/E4)&gt;=0.8,12,IF((E15/E4)&gt;=0.75,11,IF((E15/E4)&gt;=0.7,10,IF((E15/E4)&gt;=0.65,9,IF((E15/E4)&gt;=0.6,8,IF((E15/E4)&gt;=0.55,7,IF((E15/E4)&gt;=0.5,6,IF((E15/E4)&gt;=0.45,5,IF((E15/E4)&gt;=0.4,4,IF((E15/E4)&gt;=0.33,3,IF((E15/E4)&gt;=0.27,2,IF((E15/E4)&gt;=0.2,1,0))))))))))))))))</f>
        <v>0</v>
      </c>
      <c r="G15" s="8">
        <f t="shared" si="1"/>
        <v>6</v>
      </c>
    </row>
    <row r="16" spans="1:12" x14ac:dyDescent="0.25">
      <c r="A16" s="9" t="str">
        <f>Stammdaten!A14&amp;", "&amp;Stammdaten!B14</f>
        <v>Blaustein, Miro</v>
      </c>
      <c r="B16" s="9"/>
      <c r="C16" s="9">
        <v>1.67</v>
      </c>
      <c r="D16" s="9">
        <v>5</v>
      </c>
      <c r="E16" s="9">
        <f t="shared" si="0"/>
        <v>6.67</v>
      </c>
      <c r="F16" s="8">
        <f>IF(E4=0,0,IF((E16/E4)&gt;=0.95,15,IF((E16/E4)&gt;=0.9,14,IF((E16/E4)&gt;=0.85,13,IF((E16/E4)&gt;=0.8,12,IF((E16/E4)&gt;=0.75,11,IF((E16/E4)&gt;=0.7,10,IF((E16/E4)&gt;=0.65,9,IF((E16/E4)&gt;=0.6,8,IF((E16/E4)&gt;=0.55,7,IF((E16/E4)&gt;=0.5,6,IF((E16/E4)&gt;=0.45,5,IF((E16/E4)&gt;=0.4,4,IF((E16/E4)&gt;=0.33,3,IF((E16/E4)&gt;=0.27,2,IF((E16/E4)&gt;=0.2,1,0))))))))))))))))</f>
        <v>9</v>
      </c>
      <c r="G16" s="8">
        <f t="shared" si="1"/>
        <v>3</v>
      </c>
      <c r="H16" s="9"/>
    </row>
    <row r="17" spans="1:8" x14ac:dyDescent="0.25">
      <c r="A17" t="str">
        <f>Stammdaten!A15&amp;", "&amp;Stammdaten!B15</f>
        <v>Bergquell, Ari</v>
      </c>
      <c r="B17">
        <v>0</v>
      </c>
      <c r="C17">
        <v>0</v>
      </c>
      <c r="D17">
        <v>4.5</v>
      </c>
      <c r="E17">
        <f t="shared" si="0"/>
        <v>4.5</v>
      </c>
      <c r="F17" s="8">
        <f>IF(E4=0,0,IF((E17/E4)&gt;=0.95,15,IF((E17/E4)&gt;=0.9,14,IF((E17/E4)&gt;=0.85,13,IF((E17/E4)&gt;=0.8,12,IF((E17/E4)&gt;=0.75,11,IF((E17/E4)&gt;=0.7,10,IF((E17/E4)&gt;=0.65,9,IF((E17/E4)&gt;=0.6,8,IF((E17/E4)&gt;=0.55,7,IF((E17/E4)&gt;=0.5,6,IF((E17/E4)&gt;=0.45,5,IF((E17/E4)&gt;=0.4,4,IF((E17/E4)&gt;=0.33,3,IF((E17/E4)&gt;=0.27,2,IF((E17/E4)&gt;=0.2,1,0))))))))))))))))</f>
        <v>5</v>
      </c>
      <c r="G17" s="8">
        <f t="shared" si="1"/>
        <v>4</v>
      </c>
    </row>
    <row r="18" spans="1:8" x14ac:dyDescent="0.25">
      <c r="A18" s="9" t="str">
        <f>Stammdaten!A16&amp;", "&amp;Stammdaten!B16</f>
        <v>Talwind, Jari</v>
      </c>
      <c r="B18" s="9">
        <v>3.33</v>
      </c>
      <c r="C18" s="9">
        <v>0</v>
      </c>
      <c r="D18" s="9">
        <v>2.5</v>
      </c>
      <c r="E18" s="9">
        <f t="shared" si="0"/>
        <v>5.83</v>
      </c>
      <c r="F18" s="8">
        <f>IF(E4=0,0,IF((E18/E4)&gt;=0.95,15,IF((E18/E4)&gt;=0.9,14,IF((E18/E4)&gt;=0.85,13,IF((E18/E4)&gt;=0.8,12,IF((E18/E4)&gt;=0.75,11,IF((E18/E4)&gt;=0.7,10,IF((E18/E4)&gt;=0.65,9,IF((E18/E4)&gt;=0.6,8,IF((E18/E4)&gt;=0.55,7,IF((E18/E4)&gt;=0.5,6,IF((E18/E4)&gt;=0.45,5,IF((E18/E4)&gt;=0.4,4,IF((E18/E4)&gt;=0.33,3,IF((E18/E4)&gt;=0.27,2,IF((E18/E4)&gt;=0.2,1,0))))))))))))))))</f>
        <v>7</v>
      </c>
      <c r="G18" s="8">
        <f t="shared" si="1"/>
        <v>3</v>
      </c>
      <c r="H18" s="9"/>
    </row>
    <row r="19" spans="1:8" x14ac:dyDescent="0.25">
      <c r="A19" t="str">
        <f>Stammdaten!A17&amp;", "&amp;Stammdaten!B17</f>
        <v>Farnheim, Bino</v>
      </c>
      <c r="B19">
        <v>3.33</v>
      </c>
      <c r="C19">
        <v>1.67</v>
      </c>
      <c r="D19">
        <v>5</v>
      </c>
      <c r="E19">
        <f t="shared" si="0"/>
        <v>10</v>
      </c>
      <c r="F19" s="8">
        <f>IF(E4=0,0,IF((E19/E4)&gt;=0.95,15,IF((E19/E4)&gt;=0.9,14,IF((E19/E4)&gt;=0.85,13,IF((E19/E4)&gt;=0.8,12,IF((E19/E4)&gt;=0.75,11,IF((E19/E4)&gt;=0.7,10,IF((E19/E4)&gt;=0.65,9,IF((E19/E4)&gt;=0.6,8,IF((E19/E4)&gt;=0.55,7,IF((E19/E4)&gt;=0.5,6,IF((E19/E4)&gt;=0.45,5,IF((E19/E4)&gt;=0.4,4,IF((E19/E4)&gt;=0.33,3,IF((E19/E4)&gt;=0.27,2,IF((E19/E4)&gt;=0.2,1,0))))))))))))))))</f>
        <v>15</v>
      </c>
      <c r="G19" s="8">
        <f t="shared" si="1"/>
        <v>1</v>
      </c>
    </row>
    <row r="20" spans="1:8" x14ac:dyDescent="0.25">
      <c r="A20" s="9" t="str">
        <f>Stammdaten!A19&amp;", "&amp;Stammdaten!B19</f>
        <v>Tannenhof, Gina</v>
      </c>
      <c r="B20" s="9">
        <v>0</v>
      </c>
      <c r="C20" s="9">
        <v>1.67</v>
      </c>
      <c r="D20" s="9">
        <v>5</v>
      </c>
      <c r="E20" s="9">
        <f t="shared" si="0"/>
        <v>6.67</v>
      </c>
      <c r="F20" s="8">
        <f>IF(E4=0,0,IF((E20/E4)&gt;=0.95,15,IF((E20/E4)&gt;=0.9,14,IF((E20/E4)&gt;=0.85,13,IF((E20/E4)&gt;=0.8,12,IF((E20/E4)&gt;=0.75,11,IF((E20/E4)&gt;=0.7,10,IF((E20/E4)&gt;=0.65,9,IF((E20/E4)&gt;=0.6,8,IF((E20/E4)&gt;=0.55,7,IF((E20/E4)&gt;=0.5,6,IF((E20/E4)&gt;=0.45,5,IF((E20/E4)&gt;=0.4,4,IF((E20/E4)&gt;=0.33,3,IF((E20/E4)&gt;=0.27,2,IF((E20/E4)&gt;=0.2,1,0))))))))))))))))</f>
        <v>9</v>
      </c>
      <c r="G20" s="8">
        <f t="shared" si="1"/>
        <v>3</v>
      </c>
      <c r="H20" s="9"/>
    </row>
    <row r="21" spans="1:8" x14ac:dyDescent="0.25">
      <c r="A21" t="str">
        <f>Stammdaten!A20&amp;", "&amp;Stammdaten!B20</f>
        <v>Lindenfels, Miro</v>
      </c>
      <c r="B21">
        <v>0</v>
      </c>
      <c r="C21">
        <v>0.42</v>
      </c>
      <c r="D21">
        <v>5</v>
      </c>
      <c r="E21">
        <f t="shared" si="0"/>
        <v>5.42</v>
      </c>
      <c r="F21" s="8">
        <f>IF(E4=0,0,IF((E21/E4)&gt;=0.95,15,IF((E21/E4)&gt;=0.9,14,IF((E21/E4)&gt;=0.85,13,IF((E21/E4)&gt;=0.8,12,IF((E21/E4)&gt;=0.75,11,IF((E21/E4)&gt;=0.7,10,IF((E21/E4)&gt;=0.65,9,IF((E21/E4)&gt;=0.6,8,IF((E21/E4)&gt;=0.55,7,IF((E21/E4)&gt;=0.5,6,IF((E21/E4)&gt;=0.45,5,IF((E21/E4)&gt;=0.4,4,IF((E21/E4)&gt;=0.33,3,IF((E21/E4)&gt;=0.27,2,IF((E21/E4)&gt;=0.2,1,0))))))))))))))))</f>
        <v>6</v>
      </c>
      <c r="G21" s="8">
        <f t="shared" si="1"/>
        <v>4</v>
      </c>
    </row>
    <row r="22" spans="1:8" x14ac:dyDescent="0.25">
      <c r="A22" s="9" t="str">
        <f>Stammdaten!A21&amp;", "&amp;Stammdaten!B21</f>
        <v>Adlerquell, Bino</v>
      </c>
      <c r="B22" s="9">
        <v>3.33</v>
      </c>
      <c r="C22" s="9">
        <v>0</v>
      </c>
      <c r="D22" s="9">
        <v>0.5</v>
      </c>
      <c r="E22" s="9">
        <f t="shared" si="0"/>
        <v>3.83</v>
      </c>
      <c r="F22" s="8">
        <f>IF(E4=0,0,IF((E22/E4)&gt;=0.95,15,IF((E22/E4)&gt;=0.9,14,IF((E22/E4)&gt;=0.85,13,IF((E22/E4)&gt;=0.8,12,IF((E22/E4)&gt;=0.75,11,IF((E22/E4)&gt;=0.7,10,IF((E22/E4)&gt;=0.65,9,IF((E22/E4)&gt;=0.6,8,IF((E22/E4)&gt;=0.55,7,IF((E22/E4)&gt;=0.5,6,IF((E22/E4)&gt;=0.45,5,IF((E22/E4)&gt;=0.4,4,IF((E22/E4)&gt;=0.33,3,IF((E22/E4)&gt;=0.27,2,IF((E22/E4)&gt;=0.2,1,0))))))))))))))))</f>
        <v>3</v>
      </c>
      <c r="G22" s="8">
        <f t="shared" si="1"/>
        <v>5</v>
      </c>
      <c r="H22" s="9"/>
    </row>
    <row r="23" spans="1:8" x14ac:dyDescent="0.25">
      <c r="A23" t="str">
        <f>Stammdaten!A22&amp;", "&amp;Stammdaten!B22</f>
        <v>Bergquell, Caro</v>
      </c>
      <c r="B23">
        <v>0</v>
      </c>
      <c r="C23">
        <v>0.42</v>
      </c>
      <c r="D23">
        <v>4</v>
      </c>
      <c r="E23">
        <f t="shared" si="0"/>
        <v>4.42</v>
      </c>
      <c r="F23" s="8">
        <f>IF(E4=0,0,IF((E23/E4)&gt;=0.95,15,IF((E23/E4)&gt;=0.9,14,IF((E23/E4)&gt;=0.85,13,IF((E23/E4)&gt;=0.8,12,IF((E23/E4)&gt;=0.75,11,IF((E23/E4)&gt;=0.7,10,IF((E23/E4)&gt;=0.65,9,IF((E23/E4)&gt;=0.6,8,IF((E23/E4)&gt;=0.55,7,IF((E23/E4)&gt;=0.5,6,IF((E23/E4)&gt;=0.45,5,IF((E23/E4)&gt;=0.4,4,IF((E23/E4)&gt;=0.33,3,IF((E23/E4)&gt;=0.27,2,IF((E23/E4)&gt;=0.2,1,0))))))))))))))))</f>
        <v>4</v>
      </c>
      <c r="G23" s="8">
        <f t="shared" si="1"/>
        <v>4</v>
      </c>
    </row>
    <row r="24" spans="1:8" x14ac:dyDescent="0.25">
      <c r="A24" s="9" t="str">
        <f>Stammdaten!A23&amp;", "&amp;Stammdaten!B23</f>
        <v>Waldhauch, Gina</v>
      </c>
      <c r="B24" s="9">
        <v>3.33</v>
      </c>
      <c r="C24" s="9">
        <v>1.67</v>
      </c>
      <c r="D24" s="9">
        <v>5</v>
      </c>
      <c r="E24" s="9">
        <f t="shared" si="0"/>
        <v>10</v>
      </c>
      <c r="F24" s="8">
        <f>IF(E4=0,0,IF((E24/E4)&gt;=0.95,15,IF((E24/E4)&gt;=0.9,14,IF((E24/E4)&gt;=0.85,13,IF((E24/E4)&gt;=0.8,12,IF((E24/E4)&gt;=0.75,11,IF((E24/E4)&gt;=0.7,10,IF((E24/E4)&gt;=0.65,9,IF((E24/E4)&gt;=0.6,8,IF((E24/E4)&gt;=0.55,7,IF((E24/E4)&gt;=0.5,6,IF((E24/E4)&gt;=0.45,5,IF((E24/E4)&gt;=0.4,4,IF((E24/E4)&gt;=0.33,3,IF((E24/E4)&gt;=0.27,2,IF((E24/E4)&gt;=0.2,1,0))))))))))))))))</f>
        <v>15</v>
      </c>
      <c r="G24" s="8">
        <f t="shared" si="1"/>
        <v>1</v>
      </c>
      <c r="H24" s="9"/>
    </row>
    <row r="25" spans="1:8" x14ac:dyDescent="0.25">
      <c r="A25" t="str">
        <f>Stammdaten!A24&amp;", "&amp;Stammdaten!B24</f>
        <v>Silbersee, Miro</v>
      </c>
      <c r="B25">
        <v>0</v>
      </c>
      <c r="C25">
        <v>0.42</v>
      </c>
      <c r="D25">
        <v>4</v>
      </c>
      <c r="E25">
        <f t="shared" si="0"/>
        <v>4.42</v>
      </c>
      <c r="F25" s="8">
        <f>IF(E4=0,0,IF((E25/E4)&gt;=0.95,15,IF((E25/E4)&gt;=0.9,14,IF((E25/E4)&gt;=0.85,13,IF((E25/E4)&gt;=0.8,12,IF((E25/E4)&gt;=0.75,11,IF((E25/E4)&gt;=0.7,10,IF((E25/E4)&gt;=0.65,9,IF((E25/E4)&gt;=0.6,8,IF((E25/E4)&gt;=0.55,7,IF((E25/E4)&gt;=0.5,6,IF((E25/E4)&gt;=0.45,5,IF((E25/E4)&gt;=0.4,4,IF((E25/E4)&gt;=0.33,3,IF((E25/E4)&gt;=0.27,2,IF((E25/E4)&gt;=0.2,1,0))))))))))))))))</f>
        <v>4</v>
      </c>
      <c r="G25" s="8">
        <f t="shared" si="1"/>
        <v>4</v>
      </c>
    </row>
    <row r="26" spans="1:8" x14ac:dyDescent="0.25">
      <c r="A26" s="9" t="str">
        <f>Stammdaten!A25&amp;", "&amp;Stammdaten!B25</f>
        <v>Winterborn, Raya</v>
      </c>
      <c r="B26" s="9">
        <v>0</v>
      </c>
      <c r="C26" s="9">
        <v>0.83</v>
      </c>
      <c r="D26" s="9">
        <v>1.25</v>
      </c>
      <c r="E26" s="9">
        <f t="shared" si="0"/>
        <v>2.08</v>
      </c>
      <c r="F26" s="8">
        <f>IF(E4=0,0,IF((E26/E4)&gt;=0.95,15,IF((E26/E4)&gt;=0.9,14,IF((E26/E4)&gt;=0.85,13,IF((E26/E4)&gt;=0.8,12,IF((E26/E4)&gt;=0.75,11,IF((E26/E4)&gt;=0.7,10,IF((E26/E4)&gt;=0.65,9,IF((E26/E4)&gt;=0.6,8,IF((E26/E4)&gt;=0.55,7,IF((E26/E4)&gt;=0.5,6,IF((E26/E4)&gt;=0.45,5,IF((E26/E4)&gt;=0.4,4,IF((E26/E4)&gt;=0.33,3,IF((E26/E4)&gt;=0.27,2,IF((E26/E4)&gt;=0.2,1,0))))))))))))))))</f>
        <v>1</v>
      </c>
      <c r="G26" s="8">
        <f t="shared" si="1"/>
        <v>5</v>
      </c>
      <c r="H26" s="9"/>
    </row>
    <row r="27" spans="1:8" x14ac:dyDescent="0.25">
      <c r="A27" t="str">
        <f>Stammdaten!A26&amp;", "&amp;Stammdaten!B26</f>
        <v>Rosenquarz, Ivo</v>
      </c>
      <c r="B27">
        <v>3.33</v>
      </c>
      <c r="C27">
        <v>1.67</v>
      </c>
      <c r="D27">
        <v>5</v>
      </c>
      <c r="E27">
        <f t="shared" si="0"/>
        <v>10</v>
      </c>
      <c r="F27" s="8">
        <f>IF(E4=0,0,IF((E27/E4)&gt;=0.95,15,IF((E27/E4)&gt;=0.9,14,IF((E27/E4)&gt;=0.85,13,IF((E27/E4)&gt;=0.8,12,IF((E27/E4)&gt;=0.75,11,IF((E27/E4)&gt;=0.7,10,IF((E27/E4)&gt;=0.65,9,IF((E27/E4)&gt;=0.6,8,IF((E27/E4)&gt;=0.55,7,IF((E27/E4)&gt;=0.5,6,IF((E27/E4)&gt;=0.45,5,IF((E27/E4)&gt;=0.4,4,IF((E27/E4)&gt;=0.33,3,IF((E27/E4)&gt;=0.27,2,IF((E27/E4)&gt;=0.2,1,0))))))))))))))))</f>
        <v>15</v>
      </c>
      <c r="G27" s="8">
        <f t="shared" si="1"/>
        <v>1</v>
      </c>
    </row>
    <row r="28" spans="1:8" x14ac:dyDescent="0.25">
      <c r="A28" s="9" t="str">
        <f>Stammdaten!A27&amp;", "&amp;Stammdaten!B27</f>
        <v>Mondenfels, Alma</v>
      </c>
      <c r="B28" s="9">
        <v>0</v>
      </c>
      <c r="C28" s="9">
        <v>0</v>
      </c>
      <c r="D28" s="9">
        <v>0</v>
      </c>
      <c r="E28" s="9">
        <f t="shared" si="0"/>
        <v>0</v>
      </c>
      <c r="F28" s="8">
        <f>IF(E4=0,0,IF((E28/E4)&gt;=0.95,15,IF((E28/E4)&gt;=0.9,14,IF((E28/E4)&gt;=0.85,13,IF((E28/E4)&gt;=0.8,12,IF((E28/E4)&gt;=0.75,11,IF((E28/E4)&gt;=0.7,10,IF((E28/E4)&gt;=0.65,9,IF((E28/E4)&gt;=0.6,8,IF((E28/E4)&gt;=0.55,7,IF((E28/E4)&gt;=0.5,6,IF((E28/E4)&gt;=0.45,5,IF((E28/E4)&gt;=0.4,4,IF((E28/E4)&gt;=0.33,3,IF((E28/E4)&gt;=0.27,2,IF((E28/E4)&gt;=0.2,1,0))))))))))))))))</f>
        <v>0</v>
      </c>
      <c r="G28" s="8">
        <f t="shared" si="1"/>
        <v>6</v>
      </c>
      <c r="H28" s="9"/>
    </row>
    <row r="29" spans="1:8" x14ac:dyDescent="0.25">
      <c r="A29" t="str">
        <f>Stammdaten!A28&amp;", "&amp;Stammdaten!B28</f>
        <v>Wolkenberg, Navi</v>
      </c>
      <c r="B29">
        <v>3.33</v>
      </c>
      <c r="C29">
        <v>0</v>
      </c>
      <c r="D29">
        <v>5</v>
      </c>
      <c r="E29">
        <f t="shared" si="0"/>
        <v>8.33</v>
      </c>
      <c r="F29" s="8">
        <f>IF(E4=0,0,IF((E29/E4)&gt;=0.95,15,IF((E29/E4)&gt;=0.9,14,IF((E29/E4)&gt;=0.85,13,IF((E29/E4)&gt;=0.8,12,IF((E29/E4)&gt;=0.75,11,IF((E29/E4)&gt;=0.7,10,IF((E29/E4)&gt;=0.65,9,IF((E29/E4)&gt;=0.6,8,IF((E29/E4)&gt;=0.55,7,IF((E29/E4)&gt;=0.5,6,IF((E29/E4)&gt;=0.45,5,IF((E29/E4)&gt;=0.4,4,IF((E29/E4)&gt;=0.33,3,IF((E29/E4)&gt;=0.27,2,IF((E29/E4)&gt;=0.2,1,0))))))))))))))))</f>
        <v>12</v>
      </c>
      <c r="G29" s="8">
        <f t="shared" si="1"/>
        <v>2</v>
      </c>
    </row>
    <row r="30" spans="1:8" x14ac:dyDescent="0.25">
      <c r="A30" s="9" t="str">
        <f>Stammdaten!A29&amp;", "&amp;Stammdaten!B29</f>
        <v>Nordlicht, Navi</v>
      </c>
      <c r="B30" s="9">
        <v>3.33</v>
      </c>
      <c r="C30" s="9">
        <v>0</v>
      </c>
      <c r="D30" s="9">
        <v>2.5</v>
      </c>
      <c r="E30" s="9">
        <f t="shared" si="0"/>
        <v>5.83</v>
      </c>
      <c r="F30" s="8">
        <f>IF(E4=0,0,IF((E30/E4)&gt;=0.95,15,IF((E30/E4)&gt;=0.9,14,IF((E30/E4)&gt;=0.85,13,IF((E30/E4)&gt;=0.8,12,IF((E30/E4)&gt;=0.75,11,IF((E30/E4)&gt;=0.7,10,IF((E30/E4)&gt;=0.65,9,IF((E30/E4)&gt;=0.6,8,IF((E30/E4)&gt;=0.55,7,IF((E30/E4)&gt;=0.5,6,IF((E30/E4)&gt;=0.45,5,IF((E30/E4)&gt;=0.4,4,IF((E30/E4)&gt;=0.33,3,IF((E30/E4)&gt;=0.27,2,IF((E30/E4)&gt;=0.2,1,0))))))))))))))))</f>
        <v>7</v>
      </c>
      <c r="G30" s="8">
        <f t="shared" si="1"/>
        <v>3</v>
      </c>
      <c r="H30" s="9"/>
    </row>
    <row r="31" spans="1:8" x14ac:dyDescent="0.25">
      <c r="A31" t="str">
        <f>Stammdaten!A30&amp;", "&amp;Stammdaten!B30</f>
        <v>Lindenfels, Hedi</v>
      </c>
      <c r="B31">
        <v>3.33</v>
      </c>
      <c r="C31">
        <v>0.42</v>
      </c>
      <c r="D31">
        <v>5</v>
      </c>
      <c r="E31">
        <f t="shared" si="0"/>
        <v>8.75</v>
      </c>
      <c r="F31" s="8">
        <f>IF(E4=0,0,IF((E31/E4)&gt;=0.95,15,IF((E31/E4)&gt;=0.9,14,IF((E31/E4)&gt;=0.85,13,IF((E31/E4)&gt;=0.8,12,IF((E31/E4)&gt;=0.75,11,IF((E31/E4)&gt;=0.7,10,IF((E31/E4)&gt;=0.65,9,IF((E31/E4)&gt;=0.6,8,IF((E31/E4)&gt;=0.55,7,IF((E31/E4)&gt;=0.5,6,IF((E31/E4)&gt;=0.45,5,IF((E31/E4)&gt;=0.4,4,IF((E31/E4)&gt;=0.33,3,IF((E31/E4)&gt;=0.27,2,IF((E31/E4)&gt;=0.2,1,0))))))))))))))))</f>
        <v>13</v>
      </c>
      <c r="G31" s="8">
        <f t="shared" si="1"/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workbookViewId="0"/>
  </sheetViews>
  <sheetFormatPr baseColWidth="10" defaultColWidth="9.140625" defaultRowHeight="15" x14ac:dyDescent="0.25"/>
  <cols>
    <col min="1" max="1" width="21" customWidth="1"/>
    <col min="2" max="4" width="8" customWidth="1"/>
    <col min="5" max="5" width="14" customWidth="1"/>
    <col min="6" max="6" width="13" customWidth="1"/>
    <col min="7" max="7" width="12" customWidth="1"/>
    <col min="8" max="8" width="11" customWidth="1"/>
    <col min="9" max="9" width="16" customWidth="1"/>
    <col min="10" max="10" width="8" customWidth="1"/>
    <col min="11" max="11" width="14" customWidth="1"/>
    <col min="12" max="12" width="8" customWidth="1"/>
  </cols>
  <sheetData>
    <row r="1" spans="1:12" x14ac:dyDescent="0.25">
      <c r="A1" s="4" t="s">
        <v>51</v>
      </c>
      <c r="B1" s="4" t="s">
        <v>67</v>
      </c>
      <c r="C1" s="4" t="s">
        <v>53</v>
      </c>
      <c r="D1" s="4"/>
      <c r="E1" s="4" t="s">
        <v>55</v>
      </c>
      <c r="F1" s="4" t="s">
        <v>71</v>
      </c>
      <c r="G1" s="4" t="s">
        <v>56</v>
      </c>
      <c r="H1" s="4"/>
      <c r="I1" s="4" t="s">
        <v>57</v>
      </c>
      <c r="J1" s="4"/>
      <c r="K1" s="4" t="s">
        <v>58</v>
      </c>
      <c r="L1" s="4" t="s">
        <v>59</v>
      </c>
    </row>
    <row r="2" spans="1:12" x14ac:dyDescent="0.25">
      <c r="A2" s="5" t="s">
        <v>60</v>
      </c>
      <c r="B2" s="5" t="s">
        <v>59</v>
      </c>
      <c r="C2" s="5" t="s">
        <v>69</v>
      </c>
      <c r="D2" s="5" t="s">
        <v>70</v>
      </c>
      <c r="E2" s="5" t="s">
        <v>61</v>
      </c>
      <c r="F2" s="5" t="s">
        <v>62</v>
      </c>
      <c r="G2" s="5" t="s">
        <v>63</v>
      </c>
      <c r="H2" s="5" t="s">
        <v>64</v>
      </c>
    </row>
    <row r="3" spans="1:12" x14ac:dyDescent="0.25">
      <c r="A3" s="6" t="s">
        <v>65</v>
      </c>
      <c r="B3" s="6"/>
      <c r="C3" s="6"/>
      <c r="D3" s="6"/>
      <c r="E3" s="6"/>
      <c r="F3" s="6"/>
      <c r="G3" s="6"/>
      <c r="H3" s="6"/>
    </row>
    <row r="4" spans="1:12" x14ac:dyDescent="0.25">
      <c r="A4" s="7" t="s">
        <v>66</v>
      </c>
      <c r="B4" s="7">
        <v>2</v>
      </c>
      <c r="C4" s="7">
        <v>3</v>
      </c>
      <c r="D4" s="7">
        <v>2</v>
      </c>
      <c r="E4" s="7">
        <f t="shared" ref="E4:E31" si="0">SUM(B4:D4)</f>
        <v>7</v>
      </c>
      <c r="F4" s="7"/>
      <c r="G4" s="7"/>
      <c r="H4" s="7"/>
    </row>
    <row r="5" spans="1:12" x14ac:dyDescent="0.25">
      <c r="A5" t="str">
        <f>Stammdaten!A3&amp;", "&amp;Stammdaten!B3</f>
        <v>Farnheim, Goro</v>
      </c>
      <c r="B5">
        <v>1.89</v>
      </c>
      <c r="C5">
        <v>3</v>
      </c>
      <c r="D5">
        <v>0.2</v>
      </c>
      <c r="E5">
        <f t="shared" si="0"/>
        <v>5.09</v>
      </c>
      <c r="F5" s="8">
        <f>IF(E4=0,0,IF((E5/E4)&gt;=0.95,15,IF((E5/E4)&gt;=0.9,14,IF((E5/E4)&gt;=0.85,13,IF((E5/E4)&gt;=0.8,12,IF((E5/E4)&gt;=0.75,11,IF((E5/E4)&gt;=0.7,10,IF((E5/E4)&gt;=0.65,9,IF((E5/E4)&gt;=0.6,8,IF((E5/E4)&gt;=0.55,7,IF((E5/E4)&gt;=0.5,6,IF((E5/E4)&gt;=0.45,5,IF((E5/E4)&gt;=0.4,4,IF((E5/E4)&gt;=0.33,3,IF((E5/E4)&gt;=0.27,2,IF((E5/E4)&gt;=0.2,1,0))))))))))))))))</f>
        <v>10</v>
      </c>
      <c r="G5" s="8">
        <f t="shared" ref="G5:G31" si="1">IF(F5&gt;=13,1,IF(F5&gt;=10,2,IF(F5&gt;=7,3,IF(F5&gt;=4,4,IF(F5&gt;=1,5,6)))))</f>
        <v>2</v>
      </c>
    </row>
    <row r="6" spans="1:12" x14ac:dyDescent="0.25">
      <c r="A6" s="9" t="str">
        <f>Stammdaten!A4&amp;", "&amp;Stammdaten!B4</f>
        <v>Silbersee, Caro</v>
      </c>
      <c r="B6" s="9">
        <v>2</v>
      </c>
      <c r="C6" s="9">
        <v>0</v>
      </c>
      <c r="D6" s="9">
        <v>0.2</v>
      </c>
      <c r="E6" s="9">
        <f t="shared" si="0"/>
        <v>2.2000000000000002</v>
      </c>
      <c r="F6" s="8">
        <f>IF(E4=0,0,IF((E6/E4)&gt;=0.95,15,IF((E6/E4)&gt;=0.9,14,IF((E6/E4)&gt;=0.85,13,IF((E6/E4)&gt;=0.8,12,IF((E6/E4)&gt;=0.75,11,IF((E6/E4)&gt;=0.7,10,IF((E6/E4)&gt;=0.65,9,IF((E6/E4)&gt;=0.6,8,IF((E6/E4)&gt;=0.55,7,IF((E6/E4)&gt;=0.5,6,IF((E6/E4)&gt;=0.45,5,IF((E6/E4)&gt;=0.4,4,IF((E6/E4)&gt;=0.33,3,IF((E6/E4)&gt;=0.27,2,IF((E6/E4)&gt;=0.2,1,0))))))))))))))))</f>
        <v>2</v>
      </c>
      <c r="G6" s="8">
        <f t="shared" si="1"/>
        <v>5</v>
      </c>
      <c r="H6" s="9"/>
    </row>
    <row r="7" spans="1:12" x14ac:dyDescent="0.25">
      <c r="A7" t="str">
        <f>Stammdaten!A5&amp;", "&amp;Stammdaten!B5</f>
        <v>Adlerquell, Weya</v>
      </c>
      <c r="B7">
        <v>1.89</v>
      </c>
      <c r="C7">
        <v>3</v>
      </c>
      <c r="E7">
        <f t="shared" si="0"/>
        <v>4.8899999999999997</v>
      </c>
      <c r="F7" s="8">
        <f>IF(E4=0,0,IF((E7/E4)&gt;=0.95,15,IF((E7/E4)&gt;=0.9,14,IF((E7/E4)&gt;=0.85,13,IF((E7/E4)&gt;=0.8,12,IF((E7/E4)&gt;=0.75,11,IF((E7/E4)&gt;=0.7,10,IF((E7/E4)&gt;=0.65,9,IF((E7/E4)&gt;=0.6,8,IF((E7/E4)&gt;=0.55,7,IF((E7/E4)&gt;=0.5,6,IF((E7/E4)&gt;=0.45,5,IF((E7/E4)&gt;=0.4,4,IF((E7/E4)&gt;=0.33,3,IF((E7/E4)&gt;=0.27,2,IF((E7/E4)&gt;=0.2,1,0))))))))))))))))</f>
        <v>9</v>
      </c>
      <c r="G7" s="8">
        <f t="shared" si="1"/>
        <v>3</v>
      </c>
    </row>
    <row r="8" spans="1:12" x14ac:dyDescent="0.25">
      <c r="A8" s="9" t="str">
        <f>Stammdaten!A6&amp;", "&amp;Stammdaten!B6</f>
        <v>Talwind, Demi</v>
      </c>
      <c r="B8" s="9"/>
      <c r="C8" s="9"/>
      <c r="D8" s="9"/>
      <c r="E8" s="9">
        <f t="shared" si="0"/>
        <v>0</v>
      </c>
      <c r="F8" s="8">
        <f>IF(E4=0,0,IF((E8/E4)&gt;=0.95,15,IF((E8/E4)&gt;=0.9,14,IF((E8/E4)&gt;=0.85,13,IF((E8/E4)&gt;=0.8,12,IF((E8/E4)&gt;=0.75,11,IF((E8/E4)&gt;=0.7,10,IF((E8/E4)&gt;=0.65,9,IF((E8/E4)&gt;=0.6,8,IF((E8/E4)&gt;=0.55,7,IF((E8/E4)&gt;=0.5,6,IF((E8/E4)&gt;=0.45,5,IF((E8/E4)&gt;=0.4,4,IF((E8/E4)&gt;=0.33,3,IF((E8/E4)&gt;=0.27,2,IF((E8/E4)&gt;=0.2,1,0))))))))))))))))</f>
        <v>0</v>
      </c>
      <c r="G8" s="8">
        <f t="shared" si="1"/>
        <v>6</v>
      </c>
      <c r="H8" s="9"/>
    </row>
    <row r="9" spans="1:12" x14ac:dyDescent="0.25">
      <c r="A9" t="str">
        <f>Stammdaten!A7&amp;", "&amp;Stammdaten!B7</f>
        <v>Nachtigall, Alma</v>
      </c>
      <c r="B9">
        <v>1.72</v>
      </c>
      <c r="C9">
        <v>2</v>
      </c>
      <c r="D9">
        <v>0</v>
      </c>
      <c r="E9">
        <f t="shared" si="0"/>
        <v>3.7199999999999998</v>
      </c>
      <c r="F9" s="8">
        <f>IF(E4=0,0,IF((E9/E4)&gt;=0.95,15,IF((E9/E4)&gt;=0.9,14,IF((E9/E4)&gt;=0.85,13,IF((E9/E4)&gt;=0.8,12,IF((E9/E4)&gt;=0.75,11,IF((E9/E4)&gt;=0.7,10,IF((E9/E4)&gt;=0.65,9,IF((E9/E4)&gt;=0.6,8,IF((E9/E4)&gt;=0.55,7,IF((E9/E4)&gt;=0.5,6,IF((E9/E4)&gt;=0.45,5,IF((E9/E4)&gt;=0.4,4,IF((E9/E4)&gt;=0.33,3,IF((E9/E4)&gt;=0.27,2,IF((E9/E4)&gt;=0.2,1,0))))))))))))))))</f>
        <v>6</v>
      </c>
      <c r="G9" s="8">
        <f t="shared" si="1"/>
        <v>4</v>
      </c>
    </row>
    <row r="10" spans="1:12" x14ac:dyDescent="0.25">
      <c r="A10" s="9" t="str">
        <f>Stammdaten!A8&amp;", "&amp;Stammdaten!B8</f>
        <v>Kieselhain, Tino</v>
      </c>
      <c r="B10" s="9">
        <v>1.89</v>
      </c>
      <c r="C10" s="9">
        <v>2</v>
      </c>
      <c r="D10" s="9">
        <v>0.4</v>
      </c>
      <c r="E10" s="9">
        <f t="shared" si="0"/>
        <v>4.29</v>
      </c>
      <c r="F10" s="8">
        <f>IF(E4=0,0,IF((E10/E4)&gt;=0.95,15,IF((E10/E4)&gt;=0.9,14,IF((E10/E4)&gt;=0.85,13,IF((E10/E4)&gt;=0.8,12,IF((E10/E4)&gt;=0.75,11,IF((E10/E4)&gt;=0.7,10,IF((E10/E4)&gt;=0.65,9,IF((E10/E4)&gt;=0.6,8,IF((E10/E4)&gt;=0.55,7,IF((E10/E4)&gt;=0.5,6,IF((E10/E4)&gt;=0.45,5,IF((E10/E4)&gt;=0.4,4,IF((E10/E4)&gt;=0.33,3,IF((E10/E4)&gt;=0.27,2,IF((E10/E4)&gt;=0.2,1,0))))))))))))))))</f>
        <v>8</v>
      </c>
      <c r="G10" s="8">
        <f t="shared" si="1"/>
        <v>3</v>
      </c>
      <c r="H10" s="9"/>
    </row>
    <row r="11" spans="1:12" x14ac:dyDescent="0.25">
      <c r="A11" t="str">
        <f>Stammdaten!A9&amp;", "&amp;Stammdaten!B9</f>
        <v>Talwind, Goro</v>
      </c>
      <c r="B11">
        <v>2</v>
      </c>
      <c r="C11">
        <v>2</v>
      </c>
      <c r="D11">
        <v>2</v>
      </c>
      <c r="E11">
        <f t="shared" si="0"/>
        <v>6</v>
      </c>
      <c r="F11" s="8">
        <f>IF(E4=0,0,IF((E11/E4)&gt;=0.95,15,IF((E11/E4)&gt;=0.9,14,IF((E11/E4)&gt;=0.85,13,IF((E11/E4)&gt;=0.8,12,IF((E11/E4)&gt;=0.75,11,IF((E11/E4)&gt;=0.7,10,IF((E11/E4)&gt;=0.65,9,IF((E11/E4)&gt;=0.6,8,IF((E11/E4)&gt;=0.55,7,IF((E11/E4)&gt;=0.5,6,IF((E11/E4)&gt;=0.45,5,IF((E11/E4)&gt;=0.4,4,IF((E11/E4)&gt;=0.33,3,IF((E11/E4)&gt;=0.27,2,IF((E11/E4)&gt;=0.2,1,0))))))))))))))))</f>
        <v>13</v>
      </c>
      <c r="G11" s="8">
        <f t="shared" si="1"/>
        <v>1</v>
      </c>
    </row>
    <row r="12" spans="1:12" x14ac:dyDescent="0.25">
      <c r="A12" s="9" t="str">
        <f>Stammdaten!A10&amp;", "&amp;Stammdaten!B10</f>
        <v>Kornfeld, Nerio</v>
      </c>
      <c r="B12" s="9">
        <v>2</v>
      </c>
      <c r="C12" s="9">
        <v>2</v>
      </c>
      <c r="D12" s="9">
        <v>0</v>
      </c>
      <c r="E12" s="9">
        <f t="shared" si="0"/>
        <v>4</v>
      </c>
      <c r="F12" s="8">
        <f>IF(E4=0,0,IF((E12/E4)&gt;=0.95,15,IF((E12/E4)&gt;=0.9,14,IF((E12/E4)&gt;=0.85,13,IF((E12/E4)&gt;=0.8,12,IF((E12/E4)&gt;=0.75,11,IF((E12/E4)&gt;=0.7,10,IF((E12/E4)&gt;=0.65,9,IF((E12/E4)&gt;=0.6,8,IF((E12/E4)&gt;=0.55,7,IF((E12/E4)&gt;=0.5,6,IF((E12/E4)&gt;=0.45,5,IF((E12/E4)&gt;=0.4,4,IF((E12/E4)&gt;=0.33,3,IF((E12/E4)&gt;=0.27,2,IF((E12/E4)&gt;=0.2,1,0))))))))))))))))</f>
        <v>7</v>
      </c>
      <c r="G12" s="8">
        <f t="shared" si="1"/>
        <v>3</v>
      </c>
      <c r="H12" s="9"/>
    </row>
    <row r="13" spans="1:12" x14ac:dyDescent="0.25">
      <c r="A13" t="str">
        <f>Stammdaten!A11&amp;", "&amp;Stammdaten!B11</f>
        <v>Rosenquarz, Vito</v>
      </c>
      <c r="B13">
        <v>1.89</v>
      </c>
      <c r="C13">
        <v>2</v>
      </c>
      <c r="D13">
        <v>1.2</v>
      </c>
      <c r="E13">
        <f t="shared" si="0"/>
        <v>5.09</v>
      </c>
      <c r="F13" s="8">
        <f>IF(E4=0,0,IF((E13/E4)&gt;=0.95,15,IF((E13/E4)&gt;=0.9,14,IF((E13/E4)&gt;=0.85,13,IF((E13/E4)&gt;=0.8,12,IF((E13/E4)&gt;=0.75,11,IF((E13/E4)&gt;=0.7,10,IF((E13/E4)&gt;=0.65,9,IF((E13/E4)&gt;=0.6,8,IF((E13/E4)&gt;=0.55,7,IF((E13/E4)&gt;=0.5,6,IF((E13/E4)&gt;=0.45,5,IF((E13/E4)&gt;=0.4,4,IF((E13/E4)&gt;=0.33,3,IF((E13/E4)&gt;=0.27,2,IF((E13/E4)&gt;=0.2,1,0))))))))))))))))</f>
        <v>10</v>
      </c>
      <c r="G13" s="8">
        <f t="shared" si="1"/>
        <v>2</v>
      </c>
    </row>
    <row r="14" spans="1:12" x14ac:dyDescent="0.25">
      <c r="A14" s="9" t="str">
        <f>Stammdaten!A12&amp;", "&amp;Stammdaten!B12</f>
        <v>Seidenberg, Miro</v>
      </c>
      <c r="B14" s="9">
        <v>1.61</v>
      </c>
      <c r="C14" s="9">
        <v>2</v>
      </c>
      <c r="D14" s="9">
        <v>2</v>
      </c>
      <c r="E14" s="9">
        <f t="shared" si="0"/>
        <v>5.61</v>
      </c>
      <c r="F14" s="8">
        <f>IF(E4=0,0,IF((E14/E4)&gt;=0.95,15,IF((E14/E4)&gt;=0.9,14,IF((E14/E4)&gt;=0.85,13,IF((E14/E4)&gt;=0.8,12,IF((E14/E4)&gt;=0.75,11,IF((E14/E4)&gt;=0.7,10,IF((E14/E4)&gt;=0.65,9,IF((E14/E4)&gt;=0.6,8,IF((E14/E4)&gt;=0.55,7,IF((E14/E4)&gt;=0.5,6,IF((E14/E4)&gt;=0.45,5,IF((E14/E4)&gt;=0.4,4,IF((E14/E4)&gt;=0.33,3,IF((E14/E4)&gt;=0.27,2,IF((E14/E4)&gt;=0.2,1,0))))))))))))))))</f>
        <v>12</v>
      </c>
      <c r="G14" s="8">
        <f t="shared" si="1"/>
        <v>2</v>
      </c>
      <c r="H14" s="9"/>
    </row>
    <row r="15" spans="1:12" x14ac:dyDescent="0.25">
      <c r="A15" t="str">
        <f>Stammdaten!A13&amp;", "&amp;Stammdaten!B13</f>
        <v>Kieselhain, Pia</v>
      </c>
      <c r="B15">
        <v>1.83</v>
      </c>
      <c r="C15">
        <v>2</v>
      </c>
      <c r="D15">
        <v>0</v>
      </c>
      <c r="E15">
        <f t="shared" si="0"/>
        <v>3.83</v>
      </c>
      <c r="F15" s="8">
        <f>IF(E4=0,0,IF((E15/E4)&gt;=0.95,15,IF((E15/E4)&gt;=0.9,14,IF((E15/E4)&gt;=0.85,13,IF((E15/E4)&gt;=0.8,12,IF((E15/E4)&gt;=0.75,11,IF((E15/E4)&gt;=0.7,10,IF((E15/E4)&gt;=0.65,9,IF((E15/E4)&gt;=0.6,8,IF((E15/E4)&gt;=0.55,7,IF((E15/E4)&gt;=0.5,6,IF((E15/E4)&gt;=0.45,5,IF((E15/E4)&gt;=0.4,4,IF((E15/E4)&gt;=0.33,3,IF((E15/E4)&gt;=0.27,2,IF((E15/E4)&gt;=0.2,1,0))))))))))))))))</f>
        <v>6</v>
      </c>
      <c r="G15" s="8">
        <f t="shared" si="1"/>
        <v>4</v>
      </c>
    </row>
    <row r="16" spans="1:12" x14ac:dyDescent="0.25">
      <c r="A16" s="9" t="str">
        <f>Stammdaten!A14&amp;", "&amp;Stammdaten!B14</f>
        <v>Blaustein, Miro</v>
      </c>
      <c r="B16" s="9">
        <v>1.61</v>
      </c>
      <c r="C16" s="9">
        <v>0</v>
      </c>
      <c r="D16" s="9">
        <v>0.2</v>
      </c>
      <c r="E16" s="9">
        <f t="shared" si="0"/>
        <v>1.81</v>
      </c>
      <c r="F16" s="8">
        <f>IF(E4=0,0,IF((E16/E4)&gt;=0.95,15,IF((E16/E4)&gt;=0.9,14,IF((E16/E4)&gt;=0.85,13,IF((E16/E4)&gt;=0.8,12,IF((E16/E4)&gt;=0.75,11,IF((E16/E4)&gt;=0.7,10,IF((E16/E4)&gt;=0.65,9,IF((E16/E4)&gt;=0.6,8,IF((E16/E4)&gt;=0.55,7,IF((E16/E4)&gt;=0.5,6,IF((E16/E4)&gt;=0.45,5,IF((E16/E4)&gt;=0.4,4,IF((E16/E4)&gt;=0.33,3,IF((E16/E4)&gt;=0.27,2,IF((E16/E4)&gt;=0.2,1,0))))))))))))))))</f>
        <v>1</v>
      </c>
      <c r="G16" s="8">
        <f t="shared" si="1"/>
        <v>5</v>
      </c>
      <c r="H16" s="9"/>
    </row>
    <row r="17" spans="1:8" x14ac:dyDescent="0.25">
      <c r="A17" t="str">
        <f>Stammdaten!A15&amp;", "&amp;Stammdaten!B15</f>
        <v>Bergquell, Ari</v>
      </c>
      <c r="B17">
        <v>2</v>
      </c>
      <c r="C17">
        <v>3</v>
      </c>
      <c r="D17">
        <v>0.6</v>
      </c>
      <c r="E17">
        <f t="shared" si="0"/>
        <v>5.6</v>
      </c>
      <c r="F17" s="8">
        <f>IF(E4=0,0,IF((E17/E4)&gt;=0.95,15,IF((E17/E4)&gt;=0.9,14,IF((E17/E4)&gt;=0.85,13,IF((E17/E4)&gt;=0.8,12,IF((E17/E4)&gt;=0.75,11,IF((E17/E4)&gt;=0.7,10,IF((E17/E4)&gt;=0.65,9,IF((E17/E4)&gt;=0.6,8,IF((E17/E4)&gt;=0.55,7,IF((E17/E4)&gt;=0.5,6,IF((E17/E4)&gt;=0.45,5,IF((E17/E4)&gt;=0.4,4,IF((E17/E4)&gt;=0.33,3,IF((E17/E4)&gt;=0.27,2,IF((E17/E4)&gt;=0.2,1,0))))))))))))))))</f>
        <v>12</v>
      </c>
      <c r="G17" s="8">
        <f t="shared" si="1"/>
        <v>2</v>
      </c>
    </row>
    <row r="18" spans="1:8" x14ac:dyDescent="0.25">
      <c r="A18" s="9" t="str">
        <f>Stammdaten!A16&amp;", "&amp;Stammdaten!B16</f>
        <v>Talwind, Jari</v>
      </c>
      <c r="B18" s="9">
        <v>2</v>
      </c>
      <c r="C18" s="9">
        <v>3</v>
      </c>
      <c r="D18" s="9">
        <v>1.2</v>
      </c>
      <c r="E18" s="9">
        <f t="shared" si="0"/>
        <v>6.2</v>
      </c>
      <c r="F18" s="8">
        <f>IF(E4=0,0,IF((E18/E4)&gt;=0.95,15,IF((E18/E4)&gt;=0.9,14,IF((E18/E4)&gt;=0.85,13,IF((E18/E4)&gt;=0.8,12,IF((E18/E4)&gt;=0.75,11,IF((E18/E4)&gt;=0.7,10,IF((E18/E4)&gt;=0.65,9,IF((E18/E4)&gt;=0.6,8,IF((E18/E4)&gt;=0.55,7,IF((E18/E4)&gt;=0.5,6,IF((E18/E4)&gt;=0.45,5,IF((E18/E4)&gt;=0.4,4,IF((E18/E4)&gt;=0.33,3,IF((E18/E4)&gt;=0.27,2,IF((E18/E4)&gt;=0.2,1,0))))))))))))))))</f>
        <v>13</v>
      </c>
      <c r="G18" s="8">
        <f t="shared" si="1"/>
        <v>1</v>
      </c>
      <c r="H18" s="9"/>
    </row>
    <row r="19" spans="1:8" x14ac:dyDescent="0.25">
      <c r="A19" t="str">
        <f>Stammdaten!A17&amp;", "&amp;Stammdaten!B17</f>
        <v>Farnheim, Bino</v>
      </c>
      <c r="B19">
        <v>1.89</v>
      </c>
      <c r="C19">
        <v>3</v>
      </c>
      <c r="D19">
        <v>0.2</v>
      </c>
      <c r="E19">
        <f t="shared" si="0"/>
        <v>5.09</v>
      </c>
      <c r="F19" s="8">
        <f>IF(E4=0,0,IF((E19/E4)&gt;=0.95,15,IF((E19/E4)&gt;=0.9,14,IF((E19/E4)&gt;=0.85,13,IF((E19/E4)&gt;=0.8,12,IF((E19/E4)&gt;=0.75,11,IF((E19/E4)&gt;=0.7,10,IF((E19/E4)&gt;=0.65,9,IF((E19/E4)&gt;=0.6,8,IF((E19/E4)&gt;=0.55,7,IF((E19/E4)&gt;=0.5,6,IF((E19/E4)&gt;=0.45,5,IF((E19/E4)&gt;=0.4,4,IF((E19/E4)&gt;=0.33,3,IF((E19/E4)&gt;=0.27,2,IF((E19/E4)&gt;=0.2,1,0))))))))))))))))</f>
        <v>10</v>
      </c>
      <c r="G19" s="8">
        <f t="shared" si="1"/>
        <v>2</v>
      </c>
    </row>
    <row r="20" spans="1:8" x14ac:dyDescent="0.25">
      <c r="A20" s="9" t="str">
        <f>Stammdaten!A19&amp;", "&amp;Stammdaten!B19</f>
        <v>Tannenhof, Gina</v>
      </c>
      <c r="B20" s="9">
        <v>1.94</v>
      </c>
      <c r="C20" s="9">
        <v>3</v>
      </c>
      <c r="D20" s="9">
        <v>1.2</v>
      </c>
      <c r="E20" s="9">
        <f t="shared" si="0"/>
        <v>6.14</v>
      </c>
      <c r="F20" s="8">
        <f>IF(E4=0,0,IF((E20/E4)&gt;=0.95,15,IF((E20/E4)&gt;=0.9,14,IF((E20/E4)&gt;=0.85,13,IF((E20/E4)&gt;=0.8,12,IF((E20/E4)&gt;=0.75,11,IF((E20/E4)&gt;=0.7,10,IF((E20/E4)&gt;=0.65,9,IF((E20/E4)&gt;=0.6,8,IF((E20/E4)&gt;=0.55,7,IF((E20/E4)&gt;=0.5,6,IF((E20/E4)&gt;=0.45,5,IF((E20/E4)&gt;=0.4,4,IF((E20/E4)&gt;=0.33,3,IF((E20/E4)&gt;=0.27,2,IF((E20/E4)&gt;=0.2,1,0))))))))))))))))</f>
        <v>13</v>
      </c>
      <c r="G20" s="8">
        <f t="shared" si="1"/>
        <v>1</v>
      </c>
      <c r="H20" s="9"/>
    </row>
    <row r="21" spans="1:8" x14ac:dyDescent="0.25">
      <c r="A21" t="str">
        <f>Stammdaten!A20&amp;", "&amp;Stammdaten!B20</f>
        <v>Lindenfels, Miro</v>
      </c>
      <c r="B21">
        <v>1.94</v>
      </c>
      <c r="C21">
        <v>3</v>
      </c>
      <c r="D21">
        <v>1</v>
      </c>
      <c r="E21">
        <f t="shared" si="0"/>
        <v>5.9399999999999995</v>
      </c>
      <c r="F21" s="8">
        <f>IF(E4=0,0,IF((E21/E4)&gt;=0.95,15,IF((E21/E4)&gt;=0.9,14,IF((E21/E4)&gt;=0.85,13,IF((E21/E4)&gt;=0.8,12,IF((E21/E4)&gt;=0.75,11,IF((E21/E4)&gt;=0.7,10,IF((E21/E4)&gt;=0.65,9,IF((E21/E4)&gt;=0.6,8,IF((E21/E4)&gt;=0.55,7,IF((E21/E4)&gt;=0.5,6,IF((E21/E4)&gt;=0.45,5,IF((E21/E4)&gt;=0.4,4,IF((E21/E4)&gt;=0.33,3,IF((E21/E4)&gt;=0.27,2,IF((E21/E4)&gt;=0.2,1,0))))))))))))))))</f>
        <v>12</v>
      </c>
      <c r="G21" s="8">
        <f t="shared" si="1"/>
        <v>2</v>
      </c>
    </row>
    <row r="22" spans="1:8" x14ac:dyDescent="0.25">
      <c r="A22" s="9" t="str">
        <f>Stammdaten!A21&amp;", "&amp;Stammdaten!B21</f>
        <v>Adlerquell, Bino</v>
      </c>
      <c r="B22" s="9">
        <v>2</v>
      </c>
      <c r="C22" s="9">
        <v>2.5</v>
      </c>
      <c r="D22" s="9">
        <v>0</v>
      </c>
      <c r="E22" s="9">
        <f t="shared" si="0"/>
        <v>4.5</v>
      </c>
      <c r="F22" s="8">
        <f>IF(E4=0,0,IF((E22/E4)&gt;=0.95,15,IF((E22/E4)&gt;=0.9,14,IF((E22/E4)&gt;=0.85,13,IF((E22/E4)&gt;=0.8,12,IF((E22/E4)&gt;=0.75,11,IF((E22/E4)&gt;=0.7,10,IF((E22/E4)&gt;=0.65,9,IF((E22/E4)&gt;=0.6,8,IF((E22/E4)&gt;=0.55,7,IF((E22/E4)&gt;=0.5,6,IF((E22/E4)&gt;=0.45,5,IF((E22/E4)&gt;=0.4,4,IF((E22/E4)&gt;=0.33,3,IF((E22/E4)&gt;=0.27,2,IF((E22/E4)&gt;=0.2,1,0))))))))))))))))</f>
        <v>8</v>
      </c>
      <c r="G22" s="8">
        <f t="shared" si="1"/>
        <v>3</v>
      </c>
      <c r="H22" s="9"/>
    </row>
    <row r="23" spans="1:8" x14ac:dyDescent="0.25">
      <c r="A23" t="str">
        <f>Stammdaten!A22&amp;", "&amp;Stammdaten!B22</f>
        <v>Bergquell, Caro</v>
      </c>
      <c r="B23">
        <v>1.94</v>
      </c>
      <c r="C23">
        <v>3</v>
      </c>
      <c r="D23">
        <v>2</v>
      </c>
      <c r="E23">
        <f t="shared" si="0"/>
        <v>6.9399999999999995</v>
      </c>
      <c r="F23" s="8">
        <f>IF(E4=0,0,IF((E23/E4)&gt;=0.95,15,IF((E23/E4)&gt;=0.9,14,IF((E23/E4)&gt;=0.85,13,IF((E23/E4)&gt;=0.8,12,IF((E23/E4)&gt;=0.75,11,IF((E23/E4)&gt;=0.7,10,IF((E23/E4)&gt;=0.65,9,IF((E23/E4)&gt;=0.6,8,IF((E23/E4)&gt;=0.55,7,IF((E23/E4)&gt;=0.5,6,IF((E23/E4)&gt;=0.45,5,IF((E23/E4)&gt;=0.4,4,IF((E23/E4)&gt;=0.33,3,IF((E23/E4)&gt;=0.27,2,IF((E23/E4)&gt;=0.2,1,0))))))))))))))))</f>
        <v>15</v>
      </c>
      <c r="G23" s="8">
        <f t="shared" si="1"/>
        <v>1</v>
      </c>
    </row>
    <row r="24" spans="1:8" x14ac:dyDescent="0.25">
      <c r="A24" s="9" t="str">
        <f>Stammdaten!A23&amp;", "&amp;Stammdaten!B23</f>
        <v>Waldhauch, Gina</v>
      </c>
      <c r="B24" s="9">
        <v>2</v>
      </c>
      <c r="C24" s="9">
        <v>3</v>
      </c>
      <c r="D24" s="9">
        <v>0.6</v>
      </c>
      <c r="E24" s="9">
        <f t="shared" si="0"/>
        <v>5.6</v>
      </c>
      <c r="F24" s="8">
        <f>IF(E4=0,0,IF((E24/E4)&gt;=0.95,15,IF((E24/E4)&gt;=0.9,14,IF((E24/E4)&gt;=0.85,13,IF((E24/E4)&gt;=0.8,12,IF((E24/E4)&gt;=0.75,11,IF((E24/E4)&gt;=0.7,10,IF((E24/E4)&gt;=0.65,9,IF((E24/E4)&gt;=0.6,8,IF((E24/E4)&gt;=0.55,7,IF((E24/E4)&gt;=0.5,6,IF((E24/E4)&gt;=0.45,5,IF((E24/E4)&gt;=0.4,4,IF((E24/E4)&gt;=0.33,3,IF((E24/E4)&gt;=0.27,2,IF((E24/E4)&gt;=0.2,1,0))))))))))))))))</f>
        <v>12</v>
      </c>
      <c r="G24" s="8">
        <f t="shared" si="1"/>
        <v>2</v>
      </c>
      <c r="H24" s="9"/>
    </row>
    <row r="25" spans="1:8" x14ac:dyDescent="0.25">
      <c r="A25" t="str">
        <f>Stammdaten!A24&amp;", "&amp;Stammdaten!B24</f>
        <v>Silbersee, Miro</v>
      </c>
      <c r="B25">
        <v>2</v>
      </c>
      <c r="C25">
        <v>3</v>
      </c>
      <c r="D25">
        <v>1.6</v>
      </c>
      <c r="E25">
        <f t="shared" si="0"/>
        <v>6.6</v>
      </c>
      <c r="F25" s="8">
        <f>IF(E4=0,0,IF((E25/E4)&gt;=0.95,15,IF((E25/E4)&gt;=0.9,14,IF((E25/E4)&gt;=0.85,13,IF((E25/E4)&gt;=0.8,12,IF((E25/E4)&gt;=0.75,11,IF((E25/E4)&gt;=0.7,10,IF((E25/E4)&gt;=0.65,9,IF((E25/E4)&gt;=0.6,8,IF((E25/E4)&gt;=0.55,7,IF((E25/E4)&gt;=0.5,6,IF((E25/E4)&gt;=0.45,5,IF((E25/E4)&gt;=0.4,4,IF((E25/E4)&gt;=0.33,3,IF((E25/E4)&gt;=0.27,2,IF((E25/E4)&gt;=0.2,1,0))))))))))))))))</f>
        <v>14</v>
      </c>
      <c r="G25" s="8">
        <f t="shared" si="1"/>
        <v>1</v>
      </c>
    </row>
    <row r="26" spans="1:8" x14ac:dyDescent="0.25">
      <c r="A26" s="9" t="str">
        <f>Stammdaten!A25&amp;", "&amp;Stammdaten!B25</f>
        <v>Winterborn, Raya</v>
      </c>
      <c r="B26" s="9">
        <v>1.89</v>
      </c>
      <c r="C26" s="9">
        <v>3</v>
      </c>
      <c r="D26" s="9">
        <v>2</v>
      </c>
      <c r="E26" s="9">
        <f t="shared" si="0"/>
        <v>6.89</v>
      </c>
      <c r="F26" s="8">
        <f>IF(E4=0,0,IF((E26/E4)&gt;=0.95,15,IF((E26/E4)&gt;=0.9,14,IF((E26/E4)&gt;=0.85,13,IF((E26/E4)&gt;=0.8,12,IF((E26/E4)&gt;=0.75,11,IF((E26/E4)&gt;=0.7,10,IF((E26/E4)&gt;=0.65,9,IF((E26/E4)&gt;=0.6,8,IF((E26/E4)&gt;=0.55,7,IF((E26/E4)&gt;=0.5,6,IF((E26/E4)&gt;=0.45,5,IF((E26/E4)&gt;=0.4,4,IF((E26/E4)&gt;=0.33,3,IF((E26/E4)&gt;=0.27,2,IF((E26/E4)&gt;=0.2,1,0))))))))))))))))</f>
        <v>15</v>
      </c>
      <c r="G26" s="8">
        <f t="shared" si="1"/>
        <v>1</v>
      </c>
      <c r="H26" s="9"/>
    </row>
    <row r="27" spans="1:8" x14ac:dyDescent="0.25">
      <c r="A27" t="str">
        <f>Stammdaten!A26&amp;", "&amp;Stammdaten!B26</f>
        <v>Rosenquarz, Ivo</v>
      </c>
      <c r="B27">
        <v>1.22</v>
      </c>
      <c r="C27">
        <v>1</v>
      </c>
      <c r="D27">
        <v>0.8</v>
      </c>
      <c r="E27">
        <f t="shared" si="0"/>
        <v>3.0199999999999996</v>
      </c>
      <c r="F27" s="8">
        <f>IF(E4=0,0,IF((E27/E4)&gt;=0.95,15,IF((E27/E4)&gt;=0.9,14,IF((E27/E4)&gt;=0.85,13,IF((E27/E4)&gt;=0.8,12,IF((E27/E4)&gt;=0.75,11,IF((E27/E4)&gt;=0.7,10,IF((E27/E4)&gt;=0.65,9,IF((E27/E4)&gt;=0.6,8,IF((E27/E4)&gt;=0.55,7,IF((E27/E4)&gt;=0.5,6,IF((E27/E4)&gt;=0.45,5,IF((E27/E4)&gt;=0.4,4,IF((E27/E4)&gt;=0.33,3,IF((E27/E4)&gt;=0.27,2,IF((E27/E4)&gt;=0.2,1,0))))))))))))))))</f>
        <v>4</v>
      </c>
      <c r="G27" s="8">
        <f t="shared" si="1"/>
        <v>4</v>
      </c>
    </row>
    <row r="28" spans="1:8" x14ac:dyDescent="0.25">
      <c r="A28" s="9" t="str">
        <f>Stammdaten!A27&amp;", "&amp;Stammdaten!B27</f>
        <v>Mondenfels, Alma</v>
      </c>
      <c r="B28" s="9">
        <v>1.83</v>
      </c>
      <c r="C28" s="9">
        <v>1.5</v>
      </c>
      <c r="D28" s="9">
        <v>2</v>
      </c>
      <c r="E28" s="9">
        <f t="shared" si="0"/>
        <v>5.33</v>
      </c>
      <c r="F28" s="8">
        <f>IF(E4=0,0,IF((E28/E4)&gt;=0.95,15,IF((E28/E4)&gt;=0.9,14,IF((E28/E4)&gt;=0.85,13,IF((E28/E4)&gt;=0.8,12,IF((E28/E4)&gt;=0.75,11,IF((E28/E4)&gt;=0.7,10,IF((E28/E4)&gt;=0.65,9,IF((E28/E4)&gt;=0.6,8,IF((E28/E4)&gt;=0.55,7,IF((E28/E4)&gt;=0.5,6,IF((E28/E4)&gt;=0.45,5,IF((E28/E4)&gt;=0.4,4,IF((E28/E4)&gt;=0.33,3,IF((E28/E4)&gt;=0.27,2,IF((E28/E4)&gt;=0.2,1,0))))))))))))))))</f>
        <v>11</v>
      </c>
      <c r="G28" s="8">
        <f t="shared" si="1"/>
        <v>2</v>
      </c>
      <c r="H28" s="9"/>
    </row>
    <row r="29" spans="1:8" x14ac:dyDescent="0.25">
      <c r="A29" t="str">
        <f>Stammdaten!A28&amp;", "&amp;Stammdaten!B28</f>
        <v>Wolkenberg, Navi</v>
      </c>
      <c r="B29">
        <v>2</v>
      </c>
      <c r="C29">
        <v>3</v>
      </c>
      <c r="D29">
        <v>2</v>
      </c>
      <c r="E29">
        <f t="shared" si="0"/>
        <v>7</v>
      </c>
      <c r="F29" s="8">
        <f>IF(E4=0,0,IF((E29/E4)&gt;=0.95,15,IF((E29/E4)&gt;=0.9,14,IF((E29/E4)&gt;=0.85,13,IF((E29/E4)&gt;=0.8,12,IF((E29/E4)&gt;=0.75,11,IF((E29/E4)&gt;=0.7,10,IF((E29/E4)&gt;=0.65,9,IF((E29/E4)&gt;=0.6,8,IF((E29/E4)&gt;=0.55,7,IF((E29/E4)&gt;=0.5,6,IF((E29/E4)&gt;=0.45,5,IF((E29/E4)&gt;=0.4,4,IF((E29/E4)&gt;=0.33,3,IF((E29/E4)&gt;=0.27,2,IF((E29/E4)&gt;=0.2,1,0))))))))))))))))</f>
        <v>15</v>
      </c>
      <c r="G29" s="8">
        <f t="shared" si="1"/>
        <v>1</v>
      </c>
    </row>
    <row r="30" spans="1:8" x14ac:dyDescent="0.25">
      <c r="A30" s="9" t="str">
        <f>Stammdaten!A29&amp;", "&amp;Stammdaten!B29</f>
        <v>Nordlicht, Navi</v>
      </c>
      <c r="B30" s="9">
        <v>2</v>
      </c>
      <c r="C30" s="9">
        <v>2.5</v>
      </c>
      <c r="D30" s="9">
        <v>0</v>
      </c>
      <c r="E30" s="9">
        <f t="shared" si="0"/>
        <v>4.5</v>
      </c>
      <c r="F30" s="8">
        <f>IF(E4=0,0,IF((E30/E4)&gt;=0.95,15,IF((E30/E4)&gt;=0.9,14,IF((E30/E4)&gt;=0.85,13,IF((E30/E4)&gt;=0.8,12,IF((E30/E4)&gt;=0.75,11,IF((E30/E4)&gt;=0.7,10,IF((E30/E4)&gt;=0.65,9,IF((E30/E4)&gt;=0.6,8,IF((E30/E4)&gt;=0.55,7,IF((E30/E4)&gt;=0.5,6,IF((E30/E4)&gt;=0.45,5,IF((E30/E4)&gt;=0.4,4,IF((E30/E4)&gt;=0.33,3,IF((E30/E4)&gt;=0.27,2,IF((E30/E4)&gt;=0.2,1,0))))))))))))))))</f>
        <v>8</v>
      </c>
      <c r="G30" s="8">
        <f t="shared" si="1"/>
        <v>3</v>
      </c>
      <c r="H30" s="9"/>
    </row>
    <row r="31" spans="1:8" x14ac:dyDescent="0.25">
      <c r="A31" t="str">
        <f>Stammdaten!A30&amp;", "&amp;Stammdaten!B30</f>
        <v>Lindenfels, Hedi</v>
      </c>
      <c r="B31">
        <v>1.89</v>
      </c>
      <c r="C31">
        <v>0.5</v>
      </c>
      <c r="D31">
        <v>0.2</v>
      </c>
      <c r="E31">
        <f t="shared" si="0"/>
        <v>2.59</v>
      </c>
      <c r="F31" s="8">
        <f>IF(E4=0,0,IF((E31/E4)&gt;=0.95,15,IF((E31/E4)&gt;=0.9,14,IF((E31/E4)&gt;=0.85,13,IF((E31/E4)&gt;=0.8,12,IF((E31/E4)&gt;=0.75,11,IF((E31/E4)&gt;=0.7,10,IF((E31/E4)&gt;=0.65,9,IF((E31/E4)&gt;=0.6,8,IF((E31/E4)&gt;=0.55,7,IF((E31/E4)&gt;=0.5,6,IF((E31/E4)&gt;=0.45,5,IF((E31/E4)&gt;=0.4,4,IF((E31/E4)&gt;=0.33,3,IF((E31/E4)&gt;=0.27,2,IF((E31/E4)&gt;=0.2,1,0))))))))))))))))</f>
        <v>3</v>
      </c>
      <c r="G31" s="8">
        <f t="shared" si="1"/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workbookViewId="0"/>
  </sheetViews>
  <sheetFormatPr baseColWidth="10" defaultColWidth="9.140625" defaultRowHeight="15" x14ac:dyDescent="0.25"/>
  <cols>
    <col min="1" max="1" width="21" customWidth="1"/>
    <col min="2" max="4" width="8" customWidth="1"/>
    <col min="5" max="5" width="14" customWidth="1"/>
    <col min="6" max="6" width="8" customWidth="1"/>
    <col min="7" max="7" width="10" customWidth="1"/>
    <col min="8" max="8" width="8" customWidth="1"/>
    <col min="9" max="9" width="16" customWidth="1"/>
    <col min="10" max="10" width="8" customWidth="1"/>
    <col min="11" max="11" width="14" customWidth="1"/>
    <col min="12" max="12" width="8" customWidth="1"/>
    <col min="13" max="13" width="13" customWidth="1"/>
    <col min="14" max="14" width="12" customWidth="1"/>
    <col min="15" max="15" width="11" customWidth="1"/>
  </cols>
  <sheetData>
    <row r="1" spans="1:15" x14ac:dyDescent="0.25">
      <c r="A1" s="4" t="s">
        <v>51</v>
      </c>
      <c r="B1" s="4" t="s">
        <v>52</v>
      </c>
      <c r="C1" s="4" t="s">
        <v>53</v>
      </c>
      <c r="D1" s="4" t="s">
        <v>72</v>
      </c>
      <c r="E1" s="4" t="s">
        <v>55</v>
      </c>
      <c r="F1" s="4"/>
      <c r="G1" s="4" t="s">
        <v>56</v>
      </c>
      <c r="H1" s="4"/>
      <c r="I1" s="4" t="s">
        <v>57</v>
      </c>
      <c r="J1" s="4"/>
      <c r="K1" s="4" t="s">
        <v>58</v>
      </c>
      <c r="L1" s="4" t="s">
        <v>59</v>
      </c>
    </row>
    <row r="2" spans="1:15" x14ac:dyDescent="0.25">
      <c r="A2" s="5" t="s">
        <v>60</v>
      </c>
      <c r="B2" s="5" t="s">
        <v>59</v>
      </c>
      <c r="C2" s="5" t="s">
        <v>69</v>
      </c>
      <c r="D2" s="5" t="s">
        <v>70</v>
      </c>
      <c r="E2" s="5" t="s">
        <v>73</v>
      </c>
      <c r="F2" s="5" t="s">
        <v>74</v>
      </c>
      <c r="G2" s="5" t="s">
        <v>75</v>
      </c>
      <c r="H2" s="5" t="s">
        <v>76</v>
      </c>
      <c r="I2" s="5" t="s">
        <v>77</v>
      </c>
      <c r="J2" s="5" t="s">
        <v>78</v>
      </c>
      <c r="K2" s="5" t="s">
        <v>79</v>
      </c>
      <c r="L2" s="5" t="s">
        <v>61</v>
      </c>
      <c r="M2" s="5" t="s">
        <v>62</v>
      </c>
      <c r="N2" s="5" t="s">
        <v>63</v>
      </c>
      <c r="O2" s="5" t="s">
        <v>64</v>
      </c>
    </row>
    <row r="3" spans="1:15" x14ac:dyDescent="0.25">
      <c r="A3" s="6" t="s">
        <v>65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7" t="s">
        <v>66</v>
      </c>
      <c r="B4" s="7">
        <v>3</v>
      </c>
      <c r="C4" s="7">
        <v>2</v>
      </c>
      <c r="D4" s="7">
        <v>2</v>
      </c>
      <c r="E4" s="7">
        <v>2</v>
      </c>
      <c r="F4" s="7">
        <v>3</v>
      </c>
      <c r="G4" s="7">
        <v>3</v>
      </c>
      <c r="H4" s="7">
        <v>3</v>
      </c>
      <c r="I4" s="7">
        <v>3</v>
      </c>
      <c r="J4" s="7">
        <v>2</v>
      </c>
      <c r="K4" s="7">
        <v>2</v>
      </c>
      <c r="L4" s="7">
        <f t="shared" ref="L4:L31" si="0">SUM(B4:K4)</f>
        <v>25</v>
      </c>
      <c r="M4" s="7"/>
      <c r="N4" s="7"/>
      <c r="O4" s="7"/>
    </row>
    <row r="5" spans="1:15" x14ac:dyDescent="0.25">
      <c r="A5" t="str">
        <f>Stammdaten!A3&amp;", "&amp;Stammdaten!B3</f>
        <v>Farnheim, Goro</v>
      </c>
      <c r="B5">
        <v>2.6</v>
      </c>
      <c r="C5">
        <v>0</v>
      </c>
      <c r="D5">
        <v>0.5</v>
      </c>
      <c r="E5">
        <v>0.4</v>
      </c>
      <c r="F5">
        <v>0.75</v>
      </c>
      <c r="G5">
        <v>3</v>
      </c>
      <c r="H5">
        <v>2.31</v>
      </c>
      <c r="I5">
        <v>1.5</v>
      </c>
      <c r="J5">
        <v>0</v>
      </c>
      <c r="K5">
        <v>0</v>
      </c>
      <c r="L5">
        <f t="shared" si="0"/>
        <v>11.06</v>
      </c>
      <c r="M5" s="8">
        <f>IF(L4=0,0,IF((L5/L4)&gt;=0.95,15,IF((L5/L4)&gt;=0.9,14,IF((L5/L4)&gt;=0.85,13,IF((L5/L4)&gt;=0.8,12,IF((L5/L4)&gt;=0.75,11,IF((L5/L4)&gt;=0.7,10,IF((L5/L4)&gt;=0.65,9,IF((L5/L4)&gt;=0.6,8,IF((L5/L4)&gt;=0.55,7,IF((L5/L4)&gt;=0.5,6,IF((L5/L4)&gt;=0.45,5,IF((L5/L4)&gt;=0.4,4,IF((L5/L4)&gt;=0.33,3,IF((L5/L4)&gt;=0.27,2,IF((L5/L4)&gt;=0.2,1,0))))))))))))))))</f>
        <v>4</v>
      </c>
      <c r="N5" s="8">
        <f t="shared" ref="N5:N31" si="1">IF(M5&gt;=13,1,IF(M5&gt;=10,2,IF(M5&gt;=7,3,IF(M5&gt;=4,4,IF(M5&gt;=1,5,6)))))</f>
        <v>4</v>
      </c>
    </row>
    <row r="6" spans="1:15" x14ac:dyDescent="0.25">
      <c r="A6" s="9" t="str">
        <f>Stammdaten!A4&amp;", "&amp;Stammdaten!B4</f>
        <v>Silbersee, Caro</v>
      </c>
      <c r="B6" s="9">
        <v>2.9</v>
      </c>
      <c r="C6" s="9">
        <v>0</v>
      </c>
      <c r="D6" s="9">
        <v>2</v>
      </c>
      <c r="E6" s="9">
        <v>0.8</v>
      </c>
      <c r="F6" s="9">
        <v>1.31</v>
      </c>
      <c r="G6" s="9">
        <v>3</v>
      </c>
      <c r="H6" s="9">
        <v>3</v>
      </c>
      <c r="I6" s="9">
        <v>3</v>
      </c>
      <c r="J6" s="9">
        <v>0</v>
      </c>
      <c r="K6" s="9">
        <v>1.1000000000000001</v>
      </c>
      <c r="L6" s="9">
        <f t="shared" si="0"/>
        <v>17.11</v>
      </c>
      <c r="M6" s="8">
        <f>IF(L4=0,0,IF((L6/L4)&gt;=0.95,15,IF((L6/L4)&gt;=0.9,14,IF((L6/L4)&gt;=0.85,13,IF((L6/L4)&gt;=0.8,12,IF((L6/L4)&gt;=0.75,11,IF((L6/L4)&gt;=0.7,10,IF((L6/L4)&gt;=0.65,9,IF((L6/L4)&gt;=0.6,8,IF((L6/L4)&gt;=0.55,7,IF((L6/L4)&gt;=0.5,6,IF((L6/L4)&gt;=0.45,5,IF((L6/L4)&gt;=0.4,4,IF((L6/L4)&gt;=0.33,3,IF((L6/L4)&gt;=0.27,2,IF((L6/L4)&gt;=0.2,1,0))))))))))))))))</f>
        <v>9</v>
      </c>
      <c r="N6" s="8">
        <f t="shared" si="1"/>
        <v>3</v>
      </c>
      <c r="O6" s="9"/>
    </row>
    <row r="7" spans="1:15" x14ac:dyDescent="0.25">
      <c r="A7" t="str">
        <f>Stammdaten!A5&amp;", "&amp;Stammdaten!B5</f>
        <v>Adlerquell, Weya</v>
      </c>
      <c r="B7">
        <v>15</v>
      </c>
      <c r="L7">
        <f t="shared" si="0"/>
        <v>15</v>
      </c>
      <c r="M7" s="8">
        <f>IF(L4=0,0,IF((L7/L4)&gt;=0.95,15,IF((L7/L4)&gt;=0.9,14,IF((L7/L4)&gt;=0.85,13,IF((L7/L4)&gt;=0.8,12,IF((L7/L4)&gt;=0.75,11,IF((L7/L4)&gt;=0.7,10,IF((L7/L4)&gt;=0.65,9,IF((L7/L4)&gt;=0.6,8,IF((L7/L4)&gt;=0.55,7,IF((L7/L4)&gt;=0.5,6,IF((L7/L4)&gt;=0.45,5,IF((L7/L4)&gt;=0.4,4,IF((L7/L4)&gt;=0.33,3,IF((L7/L4)&gt;=0.27,2,IF((L7/L4)&gt;=0.2,1,0))))))))))))))))</f>
        <v>8</v>
      </c>
      <c r="N7" s="8">
        <f t="shared" si="1"/>
        <v>3</v>
      </c>
    </row>
    <row r="8" spans="1:15" x14ac:dyDescent="0.25">
      <c r="A8" s="9" t="str">
        <f>Stammdaten!A6&amp;", "&amp;Stammdaten!B6</f>
        <v>Talwind, Demi</v>
      </c>
      <c r="B8" s="9">
        <v>3</v>
      </c>
      <c r="C8" s="9">
        <v>2</v>
      </c>
      <c r="D8" s="9">
        <v>1.75</v>
      </c>
      <c r="E8" s="9">
        <v>1.2</v>
      </c>
      <c r="F8" s="9">
        <v>2.91</v>
      </c>
      <c r="G8" s="9">
        <v>3</v>
      </c>
      <c r="H8" s="9">
        <v>3</v>
      </c>
      <c r="I8" s="9">
        <v>2.7</v>
      </c>
      <c r="J8" s="9">
        <v>0.5</v>
      </c>
      <c r="K8" s="9">
        <v>1</v>
      </c>
      <c r="L8" s="9">
        <f t="shared" si="0"/>
        <v>21.06</v>
      </c>
      <c r="M8" s="8">
        <f>IF(L4=0,0,IF((L8/L4)&gt;=0.95,15,IF((L8/L4)&gt;=0.9,14,IF((L8/L4)&gt;=0.85,13,IF((L8/L4)&gt;=0.8,12,IF((L8/L4)&gt;=0.75,11,IF((L8/L4)&gt;=0.7,10,IF((L8/L4)&gt;=0.65,9,IF((L8/L4)&gt;=0.6,8,IF((L8/L4)&gt;=0.55,7,IF((L8/L4)&gt;=0.5,6,IF((L8/L4)&gt;=0.45,5,IF((L8/L4)&gt;=0.4,4,IF((L8/L4)&gt;=0.33,3,IF((L8/L4)&gt;=0.27,2,IF((L8/L4)&gt;=0.2,1,0))))))))))))))))</f>
        <v>12</v>
      </c>
      <c r="N8" s="8">
        <f t="shared" si="1"/>
        <v>2</v>
      </c>
      <c r="O8" s="9"/>
    </row>
    <row r="9" spans="1:15" x14ac:dyDescent="0.25">
      <c r="A9" t="str">
        <f>Stammdaten!A7&amp;", "&amp;Stammdaten!B7</f>
        <v>Nachtigall, Alma</v>
      </c>
      <c r="B9">
        <v>2.8</v>
      </c>
      <c r="C9">
        <v>2</v>
      </c>
      <c r="D9">
        <v>0.5</v>
      </c>
      <c r="E9">
        <v>1.2</v>
      </c>
      <c r="F9">
        <v>1.5</v>
      </c>
      <c r="G9">
        <v>2.7</v>
      </c>
      <c r="H9">
        <v>3</v>
      </c>
      <c r="I9">
        <v>3</v>
      </c>
      <c r="J9">
        <v>2</v>
      </c>
      <c r="K9">
        <v>1</v>
      </c>
      <c r="L9">
        <f t="shared" si="0"/>
        <v>19.7</v>
      </c>
      <c r="M9" s="8">
        <f>IF(L4=0,0,IF((L9/L4)&gt;=0.95,15,IF((L9/L4)&gt;=0.9,14,IF((L9/L4)&gt;=0.85,13,IF((L9/L4)&gt;=0.8,12,IF((L9/L4)&gt;=0.75,11,IF((L9/L4)&gt;=0.7,10,IF((L9/L4)&gt;=0.65,9,IF((L9/L4)&gt;=0.6,8,IF((L9/L4)&gt;=0.55,7,IF((L9/L4)&gt;=0.5,6,IF((L9/L4)&gt;=0.45,5,IF((L9/L4)&gt;=0.4,4,IF((L9/L4)&gt;=0.33,3,IF((L9/L4)&gt;=0.27,2,IF((L9/L4)&gt;=0.2,1,0))))))))))))))))</f>
        <v>11</v>
      </c>
      <c r="N9" s="8">
        <f t="shared" si="1"/>
        <v>2</v>
      </c>
    </row>
    <row r="10" spans="1:15" x14ac:dyDescent="0.25">
      <c r="A10" s="9" t="str">
        <f>Stammdaten!A8&amp;", "&amp;Stammdaten!B8</f>
        <v>Kieselhain, Tino</v>
      </c>
      <c r="B10" s="9">
        <v>2.6</v>
      </c>
      <c r="C10" s="9">
        <v>2</v>
      </c>
      <c r="D10" s="9">
        <v>1.5</v>
      </c>
      <c r="E10" s="9">
        <v>1.2</v>
      </c>
      <c r="F10" s="9">
        <v>2.25</v>
      </c>
      <c r="G10" s="9">
        <v>3</v>
      </c>
      <c r="H10" s="9">
        <v>3</v>
      </c>
      <c r="I10" s="9">
        <v>3</v>
      </c>
      <c r="J10" s="9">
        <v>2</v>
      </c>
      <c r="K10" s="9">
        <v>1.6</v>
      </c>
      <c r="L10" s="9">
        <f t="shared" si="0"/>
        <v>22.150000000000002</v>
      </c>
      <c r="M10" s="8">
        <f>IF(L4=0,0,IF((L10/L4)&gt;=0.95,15,IF((L10/L4)&gt;=0.9,14,IF((L10/L4)&gt;=0.85,13,IF((L10/L4)&gt;=0.8,12,IF((L10/L4)&gt;=0.75,11,IF((L10/L4)&gt;=0.7,10,IF((L10/L4)&gt;=0.65,9,IF((L10/L4)&gt;=0.6,8,IF((L10/L4)&gt;=0.55,7,IF((L10/L4)&gt;=0.5,6,IF((L10/L4)&gt;=0.45,5,IF((L10/L4)&gt;=0.4,4,IF((L10/L4)&gt;=0.33,3,IF((L10/L4)&gt;=0.27,2,IF((L10/L4)&gt;=0.2,1,0))))))))))))))))</f>
        <v>13</v>
      </c>
      <c r="N10" s="8">
        <f t="shared" si="1"/>
        <v>1</v>
      </c>
      <c r="O10" s="9"/>
    </row>
    <row r="11" spans="1:15" x14ac:dyDescent="0.25">
      <c r="A11" t="str">
        <f>Stammdaten!A9&amp;", "&amp;Stammdaten!B9</f>
        <v>Talwind, Goro</v>
      </c>
      <c r="B11">
        <v>3</v>
      </c>
      <c r="C11">
        <v>2</v>
      </c>
      <c r="D11">
        <v>0.5</v>
      </c>
      <c r="E11">
        <v>0</v>
      </c>
      <c r="F11">
        <v>2.25</v>
      </c>
      <c r="G11">
        <v>0</v>
      </c>
      <c r="H11">
        <v>2.54</v>
      </c>
      <c r="I11">
        <v>0.6</v>
      </c>
      <c r="J11">
        <v>0</v>
      </c>
      <c r="K11">
        <v>1</v>
      </c>
      <c r="L11">
        <f t="shared" si="0"/>
        <v>11.889999999999999</v>
      </c>
      <c r="M11" s="8">
        <f>IF(L4=0,0,IF((L11/L4)&gt;=0.95,15,IF((L11/L4)&gt;=0.9,14,IF((L11/L4)&gt;=0.85,13,IF((L11/L4)&gt;=0.8,12,IF((L11/L4)&gt;=0.75,11,IF((L11/L4)&gt;=0.7,10,IF((L11/L4)&gt;=0.65,9,IF((L11/L4)&gt;=0.6,8,IF((L11/L4)&gt;=0.55,7,IF((L11/L4)&gt;=0.5,6,IF((L11/L4)&gt;=0.45,5,IF((L11/L4)&gt;=0.4,4,IF((L11/L4)&gt;=0.33,3,IF((L11/L4)&gt;=0.27,2,IF((L11/L4)&gt;=0.2,1,0))))))))))))))))</f>
        <v>5</v>
      </c>
      <c r="N11" s="8">
        <f t="shared" si="1"/>
        <v>4</v>
      </c>
    </row>
    <row r="12" spans="1:15" x14ac:dyDescent="0.25">
      <c r="A12" s="9" t="str">
        <f>Stammdaten!A10&amp;", "&amp;Stammdaten!B10</f>
        <v>Kornfeld, Nerio</v>
      </c>
      <c r="B12" s="9">
        <v>3</v>
      </c>
      <c r="C12" s="9">
        <v>2</v>
      </c>
      <c r="D12" s="9">
        <v>1.75</v>
      </c>
      <c r="E12" s="9">
        <v>0.8</v>
      </c>
      <c r="F12" s="9">
        <v>3</v>
      </c>
      <c r="G12" s="9">
        <v>3</v>
      </c>
      <c r="H12" s="9">
        <v>3</v>
      </c>
      <c r="I12" s="9">
        <v>3</v>
      </c>
      <c r="J12" s="9">
        <v>0</v>
      </c>
      <c r="K12" s="9">
        <v>0</v>
      </c>
      <c r="L12" s="9">
        <f t="shared" si="0"/>
        <v>19.55</v>
      </c>
      <c r="M12" s="8">
        <f>IF(L4=0,0,IF((L12/L4)&gt;=0.95,15,IF((L12/L4)&gt;=0.9,14,IF((L12/L4)&gt;=0.85,13,IF((L12/L4)&gt;=0.8,12,IF((L12/L4)&gt;=0.75,11,IF((L12/L4)&gt;=0.7,10,IF((L12/L4)&gt;=0.65,9,IF((L12/L4)&gt;=0.6,8,IF((L12/L4)&gt;=0.55,7,IF((L12/L4)&gt;=0.5,6,IF((L12/L4)&gt;=0.45,5,IF((L12/L4)&gt;=0.4,4,IF((L12/L4)&gt;=0.33,3,IF((L12/L4)&gt;=0.27,2,IF((L12/L4)&gt;=0.2,1,0))))))))))))))))</f>
        <v>11</v>
      </c>
      <c r="N12" s="8">
        <f t="shared" si="1"/>
        <v>2</v>
      </c>
      <c r="O12" s="9"/>
    </row>
    <row r="13" spans="1:15" x14ac:dyDescent="0.25">
      <c r="A13" t="str">
        <f>Stammdaten!A11&amp;", "&amp;Stammdaten!B11</f>
        <v>Rosenquarz, Vito</v>
      </c>
      <c r="B13">
        <v>1.7</v>
      </c>
      <c r="C13">
        <v>0</v>
      </c>
      <c r="D13">
        <v>0.25</v>
      </c>
      <c r="E13">
        <v>0</v>
      </c>
      <c r="F13">
        <v>2.63</v>
      </c>
      <c r="G13">
        <v>3</v>
      </c>
      <c r="H13">
        <v>3</v>
      </c>
      <c r="I13">
        <v>3</v>
      </c>
      <c r="J13">
        <v>0</v>
      </c>
      <c r="K13">
        <v>0</v>
      </c>
      <c r="L13">
        <f t="shared" si="0"/>
        <v>13.58</v>
      </c>
      <c r="M13" s="8">
        <f>IF(L4=0,0,IF((L13/L4)&gt;=0.95,15,IF((L13/L4)&gt;=0.9,14,IF((L13/L4)&gt;=0.85,13,IF((L13/L4)&gt;=0.8,12,IF((L13/L4)&gt;=0.75,11,IF((L13/L4)&gt;=0.7,10,IF((L13/L4)&gt;=0.65,9,IF((L13/L4)&gt;=0.6,8,IF((L13/L4)&gt;=0.55,7,IF((L13/L4)&gt;=0.5,6,IF((L13/L4)&gt;=0.45,5,IF((L13/L4)&gt;=0.4,4,IF((L13/L4)&gt;=0.33,3,IF((L13/L4)&gt;=0.27,2,IF((L13/L4)&gt;=0.2,1,0))))))))))))))))</f>
        <v>6</v>
      </c>
      <c r="N13" s="8">
        <f t="shared" si="1"/>
        <v>4</v>
      </c>
    </row>
    <row r="14" spans="1:15" x14ac:dyDescent="0.25">
      <c r="A14" s="9" t="str">
        <f>Stammdaten!A12&amp;", "&amp;Stammdaten!B12</f>
        <v>Seidenberg, Miro</v>
      </c>
      <c r="B14" s="9">
        <v>2.2999999999999998</v>
      </c>
      <c r="C14" s="9">
        <v>0</v>
      </c>
      <c r="D14" s="9">
        <v>0.25</v>
      </c>
      <c r="E14" s="9">
        <v>0.4</v>
      </c>
      <c r="F14" s="9">
        <v>0.75</v>
      </c>
      <c r="G14" s="9">
        <v>0</v>
      </c>
      <c r="H14" s="9">
        <v>1.38</v>
      </c>
      <c r="I14" s="9">
        <v>2.7</v>
      </c>
      <c r="J14" s="9">
        <v>0</v>
      </c>
      <c r="K14" s="9">
        <v>0</v>
      </c>
      <c r="L14" s="9">
        <f t="shared" si="0"/>
        <v>7.78</v>
      </c>
      <c r="M14" s="8">
        <f>IF(L4=0,0,IF((L14/L4)&gt;=0.95,15,IF((L14/L4)&gt;=0.9,14,IF((L14/L4)&gt;=0.85,13,IF((L14/L4)&gt;=0.8,12,IF((L14/L4)&gt;=0.75,11,IF((L14/L4)&gt;=0.7,10,IF((L14/L4)&gt;=0.65,9,IF((L14/L4)&gt;=0.6,8,IF((L14/L4)&gt;=0.55,7,IF((L14/L4)&gt;=0.5,6,IF((L14/L4)&gt;=0.45,5,IF((L14/L4)&gt;=0.4,4,IF((L14/L4)&gt;=0.33,3,IF((L14/L4)&gt;=0.27,2,IF((L14/L4)&gt;=0.2,1,0))))))))))))))))</f>
        <v>2</v>
      </c>
      <c r="N14" s="8">
        <f t="shared" si="1"/>
        <v>5</v>
      </c>
      <c r="O14" s="9"/>
    </row>
    <row r="15" spans="1:15" x14ac:dyDescent="0.25">
      <c r="A15" t="str">
        <f>Stammdaten!A13&amp;", "&amp;Stammdaten!B13</f>
        <v>Kieselhain, Pia</v>
      </c>
      <c r="B15">
        <v>2.5</v>
      </c>
      <c r="C15">
        <v>2</v>
      </c>
      <c r="D15">
        <v>1.5</v>
      </c>
      <c r="E15">
        <v>0.8</v>
      </c>
      <c r="F15">
        <v>1.41</v>
      </c>
      <c r="G15">
        <v>3</v>
      </c>
      <c r="H15">
        <v>0.46</v>
      </c>
      <c r="I15">
        <v>3</v>
      </c>
      <c r="J15">
        <v>2</v>
      </c>
      <c r="K15">
        <v>0</v>
      </c>
      <c r="L15">
        <f t="shared" si="0"/>
        <v>16.670000000000002</v>
      </c>
      <c r="M15" s="8">
        <f>IF(L4=0,0,IF((L15/L4)&gt;=0.95,15,IF((L15/L4)&gt;=0.9,14,IF((L15/L4)&gt;=0.85,13,IF((L15/L4)&gt;=0.8,12,IF((L15/L4)&gt;=0.75,11,IF((L15/L4)&gt;=0.7,10,IF((L15/L4)&gt;=0.65,9,IF((L15/L4)&gt;=0.6,8,IF((L15/L4)&gt;=0.55,7,IF((L15/L4)&gt;=0.5,6,IF((L15/L4)&gt;=0.45,5,IF((L15/L4)&gt;=0.4,4,IF((L15/L4)&gt;=0.33,3,IF((L15/L4)&gt;=0.27,2,IF((L15/L4)&gt;=0.2,1,0))))))))))))))))</f>
        <v>9</v>
      </c>
      <c r="N15" s="8">
        <f t="shared" si="1"/>
        <v>3</v>
      </c>
    </row>
    <row r="16" spans="1:15" x14ac:dyDescent="0.25">
      <c r="A16" s="9" t="str">
        <f>Stammdaten!A14&amp;", "&amp;Stammdaten!B14</f>
        <v>Blaustein, Miro</v>
      </c>
      <c r="B16" s="9">
        <v>2.4</v>
      </c>
      <c r="C16" s="9">
        <v>2</v>
      </c>
      <c r="D16" s="9">
        <v>1.75</v>
      </c>
      <c r="E16" s="9">
        <v>0.8</v>
      </c>
      <c r="F16" s="9">
        <v>3</v>
      </c>
      <c r="G16" s="9">
        <v>3</v>
      </c>
      <c r="H16" s="9">
        <v>3</v>
      </c>
      <c r="I16" s="9">
        <v>3</v>
      </c>
      <c r="J16" s="9">
        <v>2</v>
      </c>
      <c r="K16" s="9">
        <v>0</v>
      </c>
      <c r="L16" s="9">
        <f t="shared" si="0"/>
        <v>20.95</v>
      </c>
      <c r="M16" s="8">
        <f>IF(L4=0,0,IF((L16/L4)&gt;=0.95,15,IF((L16/L4)&gt;=0.9,14,IF((L16/L4)&gt;=0.85,13,IF((L16/L4)&gt;=0.8,12,IF((L16/L4)&gt;=0.75,11,IF((L16/L4)&gt;=0.7,10,IF((L16/L4)&gt;=0.65,9,IF((L16/L4)&gt;=0.6,8,IF((L16/L4)&gt;=0.55,7,IF((L16/L4)&gt;=0.5,6,IF((L16/L4)&gt;=0.45,5,IF((L16/L4)&gt;=0.4,4,IF((L16/L4)&gt;=0.33,3,IF((L16/L4)&gt;=0.27,2,IF((L16/L4)&gt;=0.2,1,0))))))))))))))))</f>
        <v>12</v>
      </c>
      <c r="N16" s="8">
        <f t="shared" si="1"/>
        <v>2</v>
      </c>
      <c r="O16" s="9"/>
    </row>
    <row r="17" spans="1:15" x14ac:dyDescent="0.25">
      <c r="A17" t="str">
        <f>Stammdaten!A15&amp;", "&amp;Stammdaten!B15</f>
        <v>Bergquell, Ari</v>
      </c>
      <c r="B17">
        <v>2.8</v>
      </c>
      <c r="C17">
        <v>0</v>
      </c>
      <c r="D17">
        <v>0.25</v>
      </c>
      <c r="E17">
        <v>0</v>
      </c>
      <c r="F17">
        <v>1.5</v>
      </c>
      <c r="G17">
        <v>3</v>
      </c>
      <c r="H17">
        <v>1.38</v>
      </c>
      <c r="I17">
        <v>0.99</v>
      </c>
      <c r="J17">
        <v>1.5</v>
      </c>
      <c r="K17">
        <v>0</v>
      </c>
      <c r="L17">
        <f t="shared" si="0"/>
        <v>11.42</v>
      </c>
      <c r="M17" s="8">
        <f>IF(L4=0,0,IF((L17/L4)&gt;=0.95,15,IF((L17/L4)&gt;=0.9,14,IF((L17/L4)&gt;=0.85,13,IF((L17/L4)&gt;=0.8,12,IF((L17/L4)&gt;=0.75,11,IF((L17/L4)&gt;=0.7,10,IF((L17/L4)&gt;=0.65,9,IF((L17/L4)&gt;=0.6,8,IF((L17/L4)&gt;=0.55,7,IF((L17/L4)&gt;=0.5,6,IF((L17/L4)&gt;=0.45,5,IF((L17/L4)&gt;=0.4,4,IF((L17/L4)&gt;=0.33,3,IF((L17/L4)&gt;=0.27,2,IF((L17/L4)&gt;=0.2,1,0))))))))))))))))</f>
        <v>5</v>
      </c>
      <c r="N17" s="8">
        <f t="shared" si="1"/>
        <v>4</v>
      </c>
    </row>
    <row r="18" spans="1:15" x14ac:dyDescent="0.25">
      <c r="A18" s="9" t="str">
        <f>Stammdaten!A16&amp;", "&amp;Stammdaten!B16</f>
        <v>Talwind, Jari</v>
      </c>
      <c r="B18" s="9">
        <v>2.5</v>
      </c>
      <c r="C18" s="9">
        <v>2</v>
      </c>
      <c r="D18" s="9">
        <v>2</v>
      </c>
      <c r="E18" s="9">
        <v>1.6</v>
      </c>
      <c r="F18" s="9">
        <v>2.25</v>
      </c>
      <c r="G18" s="9">
        <v>3</v>
      </c>
      <c r="H18" s="9">
        <v>3</v>
      </c>
      <c r="I18" s="9">
        <v>3</v>
      </c>
      <c r="J18" s="9">
        <v>1.5</v>
      </c>
      <c r="K18" s="9">
        <v>1.3</v>
      </c>
      <c r="L18" s="9">
        <f t="shared" si="0"/>
        <v>22.150000000000002</v>
      </c>
      <c r="M18" s="8">
        <f>IF(L4=0,0,IF((L18/L4)&gt;=0.95,15,IF((L18/L4)&gt;=0.9,14,IF((L18/L4)&gt;=0.85,13,IF((L18/L4)&gt;=0.8,12,IF((L18/L4)&gt;=0.75,11,IF((L18/L4)&gt;=0.7,10,IF((L18/L4)&gt;=0.65,9,IF((L18/L4)&gt;=0.6,8,IF((L18/L4)&gt;=0.55,7,IF((L18/L4)&gt;=0.5,6,IF((L18/L4)&gt;=0.45,5,IF((L18/L4)&gt;=0.4,4,IF((L18/L4)&gt;=0.33,3,IF((L18/L4)&gt;=0.27,2,IF((L18/L4)&gt;=0.2,1,0))))))))))))))))</f>
        <v>13</v>
      </c>
      <c r="N18" s="8">
        <f t="shared" si="1"/>
        <v>1</v>
      </c>
      <c r="O18" s="9"/>
    </row>
    <row r="19" spans="1:15" x14ac:dyDescent="0.25">
      <c r="A19" t="str">
        <f>Stammdaten!A17&amp;", "&amp;Stammdaten!B17</f>
        <v>Farnheim, Bino</v>
      </c>
      <c r="B19">
        <v>2.4</v>
      </c>
      <c r="C19">
        <v>2</v>
      </c>
      <c r="D19">
        <v>0.25</v>
      </c>
      <c r="E19">
        <v>0.4</v>
      </c>
      <c r="F19">
        <v>1.1299999999999999</v>
      </c>
      <c r="G19">
        <v>3</v>
      </c>
      <c r="H19">
        <v>3</v>
      </c>
      <c r="I19">
        <v>0</v>
      </c>
      <c r="J19">
        <v>0</v>
      </c>
      <c r="K19">
        <v>1</v>
      </c>
      <c r="L19">
        <f t="shared" si="0"/>
        <v>13.18</v>
      </c>
      <c r="M19" s="8">
        <f>IF(L4=0,0,IF((L19/L4)&gt;=0.95,15,IF((L19/L4)&gt;=0.9,14,IF((L19/L4)&gt;=0.85,13,IF((L19/L4)&gt;=0.8,12,IF((L19/L4)&gt;=0.75,11,IF((L19/L4)&gt;=0.7,10,IF((L19/L4)&gt;=0.65,9,IF((L19/L4)&gt;=0.6,8,IF((L19/L4)&gt;=0.55,7,IF((L19/L4)&gt;=0.5,6,IF((L19/L4)&gt;=0.45,5,IF((L19/L4)&gt;=0.4,4,IF((L19/L4)&gt;=0.33,3,IF((L19/L4)&gt;=0.27,2,IF((L19/L4)&gt;=0.2,1,0))))))))))))))))</f>
        <v>6</v>
      </c>
      <c r="N19" s="8">
        <f t="shared" si="1"/>
        <v>4</v>
      </c>
    </row>
    <row r="20" spans="1:15" x14ac:dyDescent="0.25">
      <c r="A20" s="9" t="str">
        <f>Stammdaten!A19&amp;", "&amp;Stammdaten!B19</f>
        <v>Tannenhof, Gina</v>
      </c>
      <c r="B20" s="9">
        <v>3</v>
      </c>
      <c r="C20" s="9">
        <v>2</v>
      </c>
      <c r="D20" s="9">
        <v>1.75</v>
      </c>
      <c r="E20" s="9">
        <v>0.8</v>
      </c>
      <c r="F20" s="9">
        <v>1.5</v>
      </c>
      <c r="G20" s="9">
        <v>3</v>
      </c>
      <c r="H20" s="9">
        <v>2.31</v>
      </c>
      <c r="I20" s="9">
        <v>0.3</v>
      </c>
      <c r="J20" s="9">
        <v>1.5</v>
      </c>
      <c r="K20" s="9">
        <v>0</v>
      </c>
      <c r="L20" s="9">
        <f t="shared" si="0"/>
        <v>16.160000000000004</v>
      </c>
      <c r="M20" s="8">
        <f>IF(L4=0,0,IF((L20/L4)&gt;=0.95,15,IF((L20/L4)&gt;=0.9,14,IF((L20/L4)&gt;=0.85,13,IF((L20/L4)&gt;=0.8,12,IF((L20/L4)&gt;=0.75,11,IF((L20/L4)&gt;=0.7,10,IF((L20/L4)&gt;=0.65,9,IF((L20/L4)&gt;=0.6,8,IF((L20/L4)&gt;=0.55,7,IF((L20/L4)&gt;=0.5,6,IF((L20/L4)&gt;=0.45,5,IF((L20/L4)&gt;=0.4,4,IF((L20/L4)&gt;=0.33,3,IF((L20/L4)&gt;=0.27,2,IF((L20/L4)&gt;=0.2,1,0))))))))))))))))</f>
        <v>8</v>
      </c>
      <c r="N20" s="8">
        <f t="shared" si="1"/>
        <v>3</v>
      </c>
      <c r="O20" s="9"/>
    </row>
    <row r="21" spans="1:15" x14ac:dyDescent="0.25">
      <c r="A21" t="str">
        <f>Stammdaten!A20&amp;", "&amp;Stammdaten!B20</f>
        <v>Lindenfels, Miro</v>
      </c>
      <c r="B21">
        <v>3</v>
      </c>
      <c r="C21">
        <v>2</v>
      </c>
      <c r="D21">
        <v>0.5</v>
      </c>
      <c r="E21">
        <v>0.4</v>
      </c>
      <c r="F21">
        <v>1.41</v>
      </c>
      <c r="G21">
        <v>3</v>
      </c>
      <c r="H21">
        <v>2.54</v>
      </c>
      <c r="I21">
        <v>0</v>
      </c>
      <c r="J21">
        <v>0</v>
      </c>
      <c r="K21">
        <v>0</v>
      </c>
      <c r="L21">
        <f t="shared" si="0"/>
        <v>12.850000000000001</v>
      </c>
      <c r="M21" s="8">
        <f>IF(L4=0,0,IF((L21/L4)&gt;=0.95,15,IF((L21/L4)&gt;=0.9,14,IF((L21/L4)&gt;=0.85,13,IF((L21/L4)&gt;=0.8,12,IF((L21/L4)&gt;=0.75,11,IF((L21/L4)&gt;=0.7,10,IF((L21/L4)&gt;=0.65,9,IF((L21/L4)&gt;=0.6,8,IF((L21/L4)&gt;=0.55,7,IF((L21/L4)&gt;=0.5,6,IF((L21/L4)&gt;=0.45,5,IF((L21/L4)&gt;=0.4,4,IF((L21/L4)&gt;=0.33,3,IF((L21/L4)&gt;=0.27,2,IF((L21/L4)&gt;=0.2,1,0))))))))))))))))</f>
        <v>6</v>
      </c>
      <c r="N21" s="8">
        <f t="shared" si="1"/>
        <v>4</v>
      </c>
    </row>
    <row r="22" spans="1:15" x14ac:dyDescent="0.25">
      <c r="A22" s="9" t="str">
        <f>Stammdaten!A21&amp;", "&amp;Stammdaten!B21</f>
        <v>Adlerquell, Bino</v>
      </c>
      <c r="B22" s="9">
        <v>2.8</v>
      </c>
      <c r="C22" s="9">
        <v>2</v>
      </c>
      <c r="D22" s="9">
        <v>0.5</v>
      </c>
      <c r="E22" s="9">
        <v>0</v>
      </c>
      <c r="F22" s="9">
        <v>2.81</v>
      </c>
      <c r="G22" s="9">
        <v>3</v>
      </c>
      <c r="H22" s="9">
        <v>3</v>
      </c>
      <c r="I22" s="9">
        <v>3</v>
      </c>
      <c r="J22" s="9">
        <v>2</v>
      </c>
      <c r="K22" s="9">
        <v>1.8</v>
      </c>
      <c r="L22" s="9">
        <f t="shared" si="0"/>
        <v>20.91</v>
      </c>
      <c r="M22" s="8">
        <f>IF(L4=0,0,IF((L22/L4)&gt;=0.95,15,IF((L22/L4)&gt;=0.9,14,IF((L22/L4)&gt;=0.85,13,IF((L22/L4)&gt;=0.8,12,IF((L22/L4)&gt;=0.75,11,IF((L22/L4)&gt;=0.7,10,IF((L22/L4)&gt;=0.65,9,IF((L22/L4)&gt;=0.6,8,IF((L22/L4)&gt;=0.55,7,IF((L22/L4)&gt;=0.5,6,IF((L22/L4)&gt;=0.45,5,IF((L22/L4)&gt;=0.4,4,IF((L22/L4)&gt;=0.33,3,IF((L22/L4)&gt;=0.27,2,IF((L22/L4)&gt;=0.2,1,0))))))))))))))))</f>
        <v>12</v>
      </c>
      <c r="N22" s="8">
        <f t="shared" si="1"/>
        <v>2</v>
      </c>
      <c r="O22" s="9"/>
    </row>
    <row r="23" spans="1:15" x14ac:dyDescent="0.25">
      <c r="A23" t="str">
        <f>Stammdaten!A22&amp;", "&amp;Stammdaten!B22</f>
        <v>Bergquell, Caro</v>
      </c>
      <c r="B23">
        <v>1.7</v>
      </c>
      <c r="C23">
        <v>2</v>
      </c>
      <c r="D23">
        <v>1.5</v>
      </c>
      <c r="E23">
        <v>0.4</v>
      </c>
      <c r="F23">
        <v>1.1299999999999999</v>
      </c>
      <c r="G23">
        <v>3</v>
      </c>
      <c r="H23">
        <v>0.92</v>
      </c>
      <c r="I23">
        <v>0.3</v>
      </c>
      <c r="J23">
        <v>0</v>
      </c>
      <c r="K23">
        <v>0</v>
      </c>
      <c r="L23">
        <f t="shared" si="0"/>
        <v>10.950000000000001</v>
      </c>
      <c r="M23" s="8">
        <f>IF(L4=0,0,IF((L23/L4)&gt;=0.95,15,IF((L23/L4)&gt;=0.9,14,IF((L23/L4)&gt;=0.85,13,IF((L23/L4)&gt;=0.8,12,IF((L23/L4)&gt;=0.75,11,IF((L23/L4)&gt;=0.7,10,IF((L23/L4)&gt;=0.65,9,IF((L23/L4)&gt;=0.6,8,IF((L23/L4)&gt;=0.55,7,IF((L23/L4)&gt;=0.5,6,IF((L23/L4)&gt;=0.45,5,IF((L23/L4)&gt;=0.4,4,IF((L23/L4)&gt;=0.33,3,IF((L23/L4)&gt;=0.27,2,IF((L23/L4)&gt;=0.2,1,0))))))))))))))))</f>
        <v>4</v>
      </c>
      <c r="N23" s="8">
        <f t="shared" si="1"/>
        <v>4</v>
      </c>
    </row>
    <row r="24" spans="1:15" x14ac:dyDescent="0.25">
      <c r="A24" s="9" t="str">
        <f>Stammdaten!A23&amp;", "&amp;Stammdaten!B23</f>
        <v>Waldhauch, Gina</v>
      </c>
      <c r="B24" s="9">
        <v>2.6</v>
      </c>
      <c r="C24" s="9">
        <v>2</v>
      </c>
      <c r="D24" s="9">
        <v>1.88</v>
      </c>
      <c r="E24" s="9">
        <v>1.6</v>
      </c>
      <c r="F24" s="9">
        <v>3</v>
      </c>
      <c r="G24" s="9">
        <v>3</v>
      </c>
      <c r="H24" s="9">
        <v>3</v>
      </c>
      <c r="I24" s="9">
        <v>3</v>
      </c>
      <c r="J24" s="9">
        <v>2</v>
      </c>
      <c r="K24" s="9">
        <v>1.3</v>
      </c>
      <c r="L24" s="9">
        <f t="shared" si="0"/>
        <v>23.38</v>
      </c>
      <c r="M24" s="8">
        <f>IF(L4=0,0,IF((L24/L4)&gt;=0.95,15,IF((L24/L4)&gt;=0.9,14,IF((L24/L4)&gt;=0.85,13,IF((L24/L4)&gt;=0.8,12,IF((L24/L4)&gt;=0.75,11,IF((L24/L4)&gt;=0.7,10,IF((L24/L4)&gt;=0.65,9,IF((L24/L4)&gt;=0.6,8,IF((L24/L4)&gt;=0.55,7,IF((L24/L4)&gt;=0.5,6,IF((L24/L4)&gt;=0.45,5,IF((L24/L4)&gt;=0.4,4,IF((L24/L4)&gt;=0.33,3,IF((L24/L4)&gt;=0.27,2,IF((L24/L4)&gt;=0.2,1,0))))))))))))))))</f>
        <v>14</v>
      </c>
      <c r="N24" s="8">
        <f t="shared" si="1"/>
        <v>1</v>
      </c>
      <c r="O24" s="9"/>
    </row>
    <row r="25" spans="1:15" x14ac:dyDescent="0.25">
      <c r="A25" t="str">
        <f>Stammdaten!A24&amp;", "&amp;Stammdaten!B24</f>
        <v>Silbersee, Miro</v>
      </c>
      <c r="B25">
        <v>3</v>
      </c>
      <c r="C25">
        <v>2</v>
      </c>
      <c r="D25">
        <v>1</v>
      </c>
      <c r="E25">
        <v>2</v>
      </c>
      <c r="F25">
        <v>2.81</v>
      </c>
      <c r="G25">
        <v>3</v>
      </c>
      <c r="H25">
        <v>3</v>
      </c>
      <c r="I25">
        <v>3</v>
      </c>
      <c r="J25">
        <v>2</v>
      </c>
      <c r="K25">
        <v>2</v>
      </c>
      <c r="L25">
        <f t="shared" si="0"/>
        <v>23.810000000000002</v>
      </c>
      <c r="M25" s="8">
        <f>IF(L4=0,0,IF((L25/L4)&gt;=0.95,15,IF((L25/L4)&gt;=0.9,14,IF((L25/L4)&gt;=0.85,13,IF((L25/L4)&gt;=0.8,12,IF((L25/L4)&gt;=0.75,11,IF((L25/L4)&gt;=0.7,10,IF((L25/L4)&gt;=0.65,9,IF((L25/L4)&gt;=0.6,8,IF((L25/L4)&gt;=0.55,7,IF((L25/L4)&gt;=0.5,6,IF((L25/L4)&gt;=0.45,5,IF((L25/L4)&gt;=0.4,4,IF((L25/L4)&gt;=0.33,3,IF((L25/L4)&gt;=0.27,2,IF((L25/L4)&gt;=0.2,1,0))))))))))))))))</f>
        <v>15</v>
      </c>
      <c r="N25" s="8">
        <f t="shared" si="1"/>
        <v>1</v>
      </c>
    </row>
    <row r="26" spans="1:15" x14ac:dyDescent="0.25">
      <c r="A26" s="9" t="str">
        <f>Stammdaten!A25&amp;", "&amp;Stammdaten!B25</f>
        <v>Winterborn, Raya</v>
      </c>
      <c r="B26" s="9">
        <v>2.8</v>
      </c>
      <c r="C26" s="9">
        <v>2</v>
      </c>
      <c r="D26" s="9">
        <v>1</v>
      </c>
      <c r="E26" s="9">
        <v>2</v>
      </c>
      <c r="F26" s="9">
        <v>2.91</v>
      </c>
      <c r="G26" s="9">
        <v>3</v>
      </c>
      <c r="H26" s="9">
        <v>3</v>
      </c>
      <c r="I26" s="9">
        <v>3</v>
      </c>
      <c r="J26" s="9">
        <v>2</v>
      </c>
      <c r="K26" s="9">
        <v>1.6</v>
      </c>
      <c r="L26" s="9">
        <f t="shared" si="0"/>
        <v>23.310000000000002</v>
      </c>
      <c r="M26" s="8">
        <f>IF(L4=0,0,IF((L26/L4)&gt;=0.95,15,IF((L26/L4)&gt;=0.9,14,IF((L26/L4)&gt;=0.85,13,IF((L26/L4)&gt;=0.8,12,IF((L26/L4)&gt;=0.75,11,IF((L26/L4)&gt;=0.7,10,IF((L26/L4)&gt;=0.65,9,IF((L26/L4)&gt;=0.6,8,IF((L26/L4)&gt;=0.55,7,IF((L26/L4)&gt;=0.5,6,IF((L26/L4)&gt;=0.45,5,IF((L26/L4)&gt;=0.4,4,IF((L26/L4)&gt;=0.33,3,IF((L26/L4)&gt;=0.27,2,IF((L26/L4)&gt;=0.2,1,0))))))))))))))))</f>
        <v>14</v>
      </c>
      <c r="N26" s="8">
        <f t="shared" si="1"/>
        <v>1</v>
      </c>
      <c r="O26" s="9"/>
    </row>
    <row r="27" spans="1:15" x14ac:dyDescent="0.25">
      <c r="A27" t="str">
        <f>Stammdaten!A26&amp;", "&amp;Stammdaten!B26</f>
        <v>Rosenquarz, Ivo</v>
      </c>
      <c r="B27">
        <v>2.2000000000000002</v>
      </c>
      <c r="C27">
        <v>2</v>
      </c>
      <c r="D27">
        <v>0.5</v>
      </c>
      <c r="E27">
        <v>0.4</v>
      </c>
      <c r="F27">
        <v>1.22</v>
      </c>
      <c r="G27">
        <v>3</v>
      </c>
      <c r="H27">
        <v>3</v>
      </c>
      <c r="I27">
        <v>0.6</v>
      </c>
      <c r="J27">
        <v>0</v>
      </c>
      <c r="K27">
        <v>0</v>
      </c>
      <c r="L27">
        <f t="shared" si="0"/>
        <v>12.92</v>
      </c>
      <c r="M27" s="8">
        <f>IF(L4=0,0,IF((L27/L4)&gt;=0.95,15,IF((L27/L4)&gt;=0.9,14,IF((L27/L4)&gt;=0.85,13,IF((L27/L4)&gt;=0.8,12,IF((L27/L4)&gt;=0.75,11,IF((L27/L4)&gt;=0.7,10,IF((L27/L4)&gt;=0.65,9,IF((L27/L4)&gt;=0.6,8,IF((L27/L4)&gt;=0.55,7,IF((L27/L4)&gt;=0.5,6,IF((L27/L4)&gt;=0.45,5,IF((L27/L4)&gt;=0.4,4,IF((L27/L4)&gt;=0.33,3,IF((L27/L4)&gt;=0.27,2,IF((L27/L4)&gt;=0.2,1,0))))))))))))))))</f>
        <v>6</v>
      </c>
      <c r="N27" s="8">
        <f t="shared" si="1"/>
        <v>4</v>
      </c>
    </row>
    <row r="28" spans="1:15" x14ac:dyDescent="0.25">
      <c r="A28" s="9" t="str">
        <f>Stammdaten!A27&amp;", "&amp;Stammdaten!B27</f>
        <v>Mondenfels, Alma</v>
      </c>
      <c r="B28" s="9">
        <v>2.5</v>
      </c>
      <c r="C28" s="9">
        <v>2</v>
      </c>
      <c r="D28" s="9">
        <v>1.75</v>
      </c>
      <c r="E28" s="9">
        <v>0.8</v>
      </c>
      <c r="F28" s="9">
        <v>2.25</v>
      </c>
      <c r="G28" s="9">
        <v>3</v>
      </c>
      <c r="H28" s="9">
        <v>3</v>
      </c>
      <c r="I28" s="9">
        <v>3</v>
      </c>
      <c r="J28" s="9">
        <v>2</v>
      </c>
      <c r="K28" s="9">
        <v>2</v>
      </c>
      <c r="L28" s="9">
        <f t="shared" si="0"/>
        <v>22.3</v>
      </c>
      <c r="M28" s="8">
        <f>IF(L4=0,0,IF((L28/L4)&gt;=0.95,15,IF((L28/L4)&gt;=0.9,14,IF((L28/L4)&gt;=0.85,13,IF((L28/L4)&gt;=0.8,12,IF((L28/L4)&gt;=0.75,11,IF((L28/L4)&gt;=0.7,10,IF((L28/L4)&gt;=0.65,9,IF((L28/L4)&gt;=0.6,8,IF((L28/L4)&gt;=0.55,7,IF((L28/L4)&gt;=0.5,6,IF((L28/L4)&gt;=0.45,5,IF((L28/L4)&gt;=0.4,4,IF((L28/L4)&gt;=0.33,3,IF((L28/L4)&gt;=0.27,2,IF((L28/L4)&gt;=0.2,1,0))))))))))))))))</f>
        <v>13</v>
      </c>
      <c r="N28" s="8">
        <f t="shared" si="1"/>
        <v>1</v>
      </c>
      <c r="O28" s="9"/>
    </row>
    <row r="29" spans="1:15" x14ac:dyDescent="0.25">
      <c r="A29" t="str">
        <f>Stammdaten!A28&amp;", "&amp;Stammdaten!B28</f>
        <v>Wolkenberg, Navi</v>
      </c>
      <c r="B29">
        <v>3</v>
      </c>
      <c r="C29">
        <v>2</v>
      </c>
      <c r="D29">
        <v>1</v>
      </c>
      <c r="E29">
        <v>1.6</v>
      </c>
      <c r="F29">
        <v>1.5</v>
      </c>
      <c r="G29">
        <v>3</v>
      </c>
      <c r="H29">
        <v>3</v>
      </c>
      <c r="I29">
        <v>3</v>
      </c>
      <c r="J29">
        <v>2</v>
      </c>
      <c r="K29">
        <v>0</v>
      </c>
      <c r="L29">
        <f t="shared" si="0"/>
        <v>20.100000000000001</v>
      </c>
      <c r="M29" s="8">
        <f>IF(L4=0,0,IF((L29/L4)&gt;=0.95,15,IF((L29/L4)&gt;=0.9,14,IF((L29/L4)&gt;=0.85,13,IF((L29/L4)&gt;=0.8,12,IF((L29/L4)&gt;=0.75,11,IF((L29/L4)&gt;=0.7,10,IF((L29/L4)&gt;=0.65,9,IF((L29/L4)&gt;=0.6,8,IF((L29/L4)&gt;=0.55,7,IF((L29/L4)&gt;=0.5,6,IF((L29/L4)&gt;=0.45,5,IF((L29/L4)&gt;=0.4,4,IF((L29/L4)&gt;=0.33,3,IF((L29/L4)&gt;=0.27,2,IF((L29/L4)&gt;=0.2,1,0))))))))))))))))</f>
        <v>12</v>
      </c>
      <c r="N29" s="8">
        <f t="shared" si="1"/>
        <v>2</v>
      </c>
    </row>
    <row r="30" spans="1:15" x14ac:dyDescent="0.25">
      <c r="A30" s="9" t="str">
        <f>Stammdaten!A29&amp;", "&amp;Stammdaten!B29</f>
        <v>Nordlicht, Navi</v>
      </c>
      <c r="B30" s="9">
        <v>2.4</v>
      </c>
      <c r="C30" s="9">
        <v>2</v>
      </c>
      <c r="D30" s="9">
        <v>0</v>
      </c>
      <c r="E30" s="9">
        <v>1.2</v>
      </c>
      <c r="F30" s="9">
        <v>2.63</v>
      </c>
      <c r="G30" s="9">
        <v>0</v>
      </c>
      <c r="H30" s="9">
        <v>3</v>
      </c>
      <c r="I30" s="9">
        <v>3</v>
      </c>
      <c r="J30" s="9">
        <v>2</v>
      </c>
      <c r="K30" s="9">
        <v>0</v>
      </c>
      <c r="L30" s="9">
        <f t="shared" si="0"/>
        <v>16.23</v>
      </c>
      <c r="M30" s="8">
        <f>IF(L4=0,0,IF((L30/L4)&gt;=0.95,15,IF((L30/L4)&gt;=0.9,14,IF((L30/L4)&gt;=0.85,13,IF((L30/L4)&gt;=0.8,12,IF((L30/L4)&gt;=0.75,11,IF((L30/L4)&gt;=0.7,10,IF((L30/L4)&gt;=0.65,9,IF((L30/L4)&gt;=0.6,8,IF((L30/L4)&gt;=0.55,7,IF((L30/L4)&gt;=0.5,6,IF((L30/L4)&gt;=0.45,5,IF((L30/L4)&gt;=0.4,4,IF((L30/L4)&gt;=0.33,3,IF((L30/L4)&gt;=0.27,2,IF((L30/L4)&gt;=0.2,1,0))))))))))))))))</f>
        <v>8</v>
      </c>
      <c r="N30" s="8">
        <f t="shared" si="1"/>
        <v>3</v>
      </c>
      <c r="O30" s="9"/>
    </row>
    <row r="31" spans="1:15" x14ac:dyDescent="0.25">
      <c r="A31" t="str">
        <f>Stammdaten!A30&amp;", "&amp;Stammdaten!B30</f>
        <v>Lindenfels, Hedi</v>
      </c>
      <c r="B31">
        <v>2.8</v>
      </c>
      <c r="C31">
        <v>2</v>
      </c>
      <c r="D31">
        <v>1.88</v>
      </c>
      <c r="E31">
        <v>2</v>
      </c>
      <c r="F31">
        <v>3</v>
      </c>
      <c r="G31">
        <v>3</v>
      </c>
      <c r="H31">
        <v>3</v>
      </c>
      <c r="I31">
        <v>3</v>
      </c>
      <c r="J31">
        <v>2</v>
      </c>
      <c r="K31">
        <v>0.5</v>
      </c>
      <c r="L31">
        <f t="shared" si="0"/>
        <v>23.18</v>
      </c>
      <c r="M31" s="8">
        <f>IF(L4=0,0,IF((L31/L4)&gt;=0.95,15,IF((L31/L4)&gt;=0.9,14,IF((L31/L4)&gt;=0.85,13,IF((L31/L4)&gt;=0.8,12,IF((L31/L4)&gt;=0.75,11,IF((L31/L4)&gt;=0.7,10,IF((L31/L4)&gt;=0.65,9,IF((L31/L4)&gt;=0.6,8,IF((L31/L4)&gt;=0.55,7,IF((L31/L4)&gt;=0.5,6,IF((L31/L4)&gt;=0.45,5,IF((L31/L4)&gt;=0.4,4,IF((L31/L4)&gt;=0.33,3,IF((L31/L4)&gt;=0.27,2,IF((L31/L4)&gt;=0.2,1,0))))))))))))))))</f>
        <v>14</v>
      </c>
      <c r="N31" s="8">
        <f t="shared" si="1"/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"/>
  <sheetViews>
    <sheetView workbookViewId="0"/>
  </sheetViews>
  <sheetFormatPr baseColWidth="10" defaultColWidth="9.140625" defaultRowHeight="15" x14ac:dyDescent="0.25"/>
  <cols>
    <col min="1" max="1" width="9" customWidth="1"/>
    <col min="2" max="2" width="8" customWidth="1"/>
    <col min="3" max="3" width="15" customWidth="1"/>
    <col min="4" max="4" width="13" customWidth="1"/>
    <col min="5" max="6" width="11" customWidth="1"/>
  </cols>
  <sheetData>
    <row r="1" spans="1:6" ht="30" customHeight="1" x14ac:dyDescent="0.25">
      <c r="A1" s="3" t="s">
        <v>60</v>
      </c>
      <c r="B1" s="3" t="s">
        <v>80</v>
      </c>
      <c r="C1" s="3" t="s">
        <v>81</v>
      </c>
      <c r="D1" s="3" t="s">
        <v>82</v>
      </c>
      <c r="E1" s="3" t="s">
        <v>83</v>
      </c>
      <c r="F1" s="3" t="s">
        <v>84</v>
      </c>
    </row>
    <row r="2" spans="1:6" x14ac:dyDescent="0.25">
      <c r="A2" t="str">
        <f>Stammdaten!A3&amp;", "&amp;Stammdaten!B3</f>
        <v>Farnheim, Goro</v>
      </c>
      <c r="B2">
        <f>LN_GLN1!C5</f>
        <v>0</v>
      </c>
      <c r="C2">
        <f t="shared" ref="C2:C28" si="0">AVERAGE(B2:B2)</f>
        <v>0</v>
      </c>
      <c r="D2">
        <f t="shared" ref="D2:D28" si="1">ROUND(C2,0)</f>
        <v>0</v>
      </c>
      <c r="E2">
        <v>1</v>
      </c>
      <c r="F2">
        <v>2</v>
      </c>
    </row>
    <row r="3" spans="1:6" x14ac:dyDescent="0.25">
      <c r="A3" t="str">
        <f>Stammdaten!A4&amp;", "&amp;Stammdaten!B4</f>
        <v>Silbersee, Caro</v>
      </c>
      <c r="B3">
        <f>LN_GLN1!C6</f>
        <v>0</v>
      </c>
      <c r="C3">
        <f t="shared" si="0"/>
        <v>0</v>
      </c>
      <c r="D3">
        <f t="shared" si="1"/>
        <v>0</v>
      </c>
      <c r="F3">
        <v>3</v>
      </c>
    </row>
    <row r="4" spans="1:6" x14ac:dyDescent="0.25">
      <c r="A4" t="str">
        <f>Stammdaten!A5&amp;", "&amp;Stammdaten!B5</f>
        <v>Adlerquell, Weya</v>
      </c>
      <c r="B4">
        <f>LN_GLN1!C7</f>
        <v>0</v>
      </c>
      <c r="C4">
        <f t="shared" si="0"/>
        <v>0</v>
      </c>
      <c r="D4">
        <f t="shared" si="1"/>
        <v>0</v>
      </c>
      <c r="E4">
        <v>2</v>
      </c>
      <c r="F4">
        <v>2</v>
      </c>
    </row>
    <row r="5" spans="1:6" x14ac:dyDescent="0.25">
      <c r="A5" t="str">
        <f>Stammdaten!A6&amp;", "&amp;Stammdaten!B6</f>
        <v>Talwind, Demi</v>
      </c>
      <c r="B5">
        <f>LN_GLN1!C8</f>
        <v>0</v>
      </c>
      <c r="C5">
        <f t="shared" si="0"/>
        <v>0</v>
      </c>
      <c r="D5">
        <f t="shared" si="1"/>
        <v>0</v>
      </c>
      <c r="E5">
        <v>2</v>
      </c>
      <c r="F5">
        <v>1</v>
      </c>
    </row>
    <row r="6" spans="1:6" x14ac:dyDescent="0.25">
      <c r="A6" t="str">
        <f>Stammdaten!A7&amp;", "&amp;Stammdaten!B7</f>
        <v>Nachtigall, Alma</v>
      </c>
      <c r="B6">
        <f>LN_GLN1!C9</f>
        <v>0</v>
      </c>
      <c r="C6">
        <f t="shared" si="0"/>
        <v>0</v>
      </c>
      <c r="D6">
        <f t="shared" si="1"/>
        <v>0</v>
      </c>
      <c r="E6">
        <v>1</v>
      </c>
      <c r="F6">
        <v>2</v>
      </c>
    </row>
    <row r="7" spans="1:6" x14ac:dyDescent="0.25">
      <c r="A7" t="str">
        <f>Stammdaten!A8&amp;", "&amp;Stammdaten!B8</f>
        <v>Kieselhain, Tino</v>
      </c>
      <c r="B7">
        <f>LN_GLN1!C10</f>
        <v>0</v>
      </c>
      <c r="C7">
        <f t="shared" si="0"/>
        <v>0</v>
      </c>
      <c r="D7">
        <f t="shared" si="1"/>
        <v>0</v>
      </c>
      <c r="E7">
        <v>1</v>
      </c>
      <c r="F7">
        <v>2</v>
      </c>
    </row>
    <row r="8" spans="1:6" x14ac:dyDescent="0.25">
      <c r="A8" t="str">
        <f>Stammdaten!A9&amp;", "&amp;Stammdaten!B9</f>
        <v>Talwind, Goro</v>
      </c>
      <c r="B8">
        <f>LN_GLN1!C11</f>
        <v>0</v>
      </c>
      <c r="C8">
        <f t="shared" si="0"/>
        <v>0</v>
      </c>
      <c r="D8">
        <f t="shared" si="1"/>
        <v>0</v>
      </c>
      <c r="E8">
        <v>1</v>
      </c>
      <c r="F8">
        <v>1</v>
      </c>
    </row>
    <row r="9" spans="1:6" x14ac:dyDescent="0.25">
      <c r="A9" t="str">
        <f>Stammdaten!A10&amp;", "&amp;Stammdaten!B10</f>
        <v>Kornfeld, Nerio</v>
      </c>
      <c r="B9">
        <f>LN_GLN1!C12</f>
        <v>0</v>
      </c>
      <c r="C9">
        <f t="shared" si="0"/>
        <v>0</v>
      </c>
      <c r="D9">
        <f t="shared" si="1"/>
        <v>0</v>
      </c>
      <c r="E9">
        <v>2</v>
      </c>
      <c r="F9">
        <v>2</v>
      </c>
    </row>
    <row r="10" spans="1:6" x14ac:dyDescent="0.25">
      <c r="A10" t="str">
        <f>Stammdaten!A11&amp;", "&amp;Stammdaten!B11</f>
        <v>Rosenquarz, Vito</v>
      </c>
      <c r="B10">
        <f>LN_GLN1!C13</f>
        <v>0</v>
      </c>
      <c r="C10">
        <f t="shared" si="0"/>
        <v>0</v>
      </c>
      <c r="D10">
        <f t="shared" si="1"/>
        <v>0</v>
      </c>
      <c r="E10">
        <v>2</v>
      </c>
      <c r="F10">
        <v>2</v>
      </c>
    </row>
    <row r="11" spans="1:6" x14ac:dyDescent="0.25">
      <c r="A11" t="str">
        <f>Stammdaten!A12&amp;", "&amp;Stammdaten!B12</f>
        <v>Seidenberg, Miro</v>
      </c>
      <c r="B11">
        <f>LN_GLN1!C14</f>
        <v>0</v>
      </c>
      <c r="C11">
        <f t="shared" si="0"/>
        <v>0</v>
      </c>
      <c r="D11">
        <f t="shared" si="1"/>
        <v>0</v>
      </c>
      <c r="E11">
        <v>2</v>
      </c>
      <c r="F11">
        <v>3</v>
      </c>
    </row>
    <row r="12" spans="1:6" x14ac:dyDescent="0.25">
      <c r="A12" t="str">
        <f>Stammdaten!A13&amp;", "&amp;Stammdaten!B13</f>
        <v>Kieselhain, Pia</v>
      </c>
      <c r="B12">
        <f>LN_GLN1!C15</f>
        <v>0</v>
      </c>
      <c r="C12">
        <f t="shared" si="0"/>
        <v>0</v>
      </c>
      <c r="D12">
        <f t="shared" si="1"/>
        <v>0</v>
      </c>
      <c r="E12">
        <v>2</v>
      </c>
      <c r="F12">
        <v>2</v>
      </c>
    </row>
    <row r="13" spans="1:6" x14ac:dyDescent="0.25">
      <c r="A13" t="str">
        <f>Stammdaten!A14&amp;", "&amp;Stammdaten!B14</f>
        <v>Blaustein, Miro</v>
      </c>
      <c r="B13">
        <f>LN_GLN1!C16</f>
        <v>0</v>
      </c>
      <c r="C13">
        <f t="shared" si="0"/>
        <v>0</v>
      </c>
      <c r="D13">
        <f t="shared" si="1"/>
        <v>0</v>
      </c>
      <c r="E13">
        <v>2</v>
      </c>
      <c r="F13">
        <v>3</v>
      </c>
    </row>
    <row r="14" spans="1:6" x14ac:dyDescent="0.25">
      <c r="A14" t="str">
        <f>Stammdaten!A15&amp;", "&amp;Stammdaten!B15</f>
        <v>Bergquell, Ari</v>
      </c>
      <c r="B14">
        <f>LN_GLN1!C17</f>
        <v>0</v>
      </c>
      <c r="C14">
        <f t="shared" si="0"/>
        <v>0</v>
      </c>
      <c r="D14">
        <f t="shared" si="1"/>
        <v>0</v>
      </c>
      <c r="E14">
        <v>2</v>
      </c>
      <c r="F14">
        <v>2</v>
      </c>
    </row>
    <row r="15" spans="1:6" x14ac:dyDescent="0.25">
      <c r="A15" t="str">
        <f>Stammdaten!A16&amp;", "&amp;Stammdaten!B16</f>
        <v>Talwind, Jari</v>
      </c>
      <c r="B15">
        <f>LN_GLN1!C18</f>
        <v>0</v>
      </c>
      <c r="C15">
        <f t="shared" si="0"/>
        <v>0</v>
      </c>
      <c r="D15">
        <f t="shared" si="1"/>
        <v>0</v>
      </c>
      <c r="E15">
        <v>2</v>
      </c>
      <c r="F15">
        <v>2</v>
      </c>
    </row>
    <row r="16" spans="1:6" x14ac:dyDescent="0.25">
      <c r="A16" t="str">
        <f>Stammdaten!A17&amp;", "&amp;Stammdaten!B17</f>
        <v>Farnheim, Bino</v>
      </c>
      <c r="B16">
        <f>LN_GLN1!C19</f>
        <v>0</v>
      </c>
      <c r="C16">
        <f t="shared" si="0"/>
        <v>0</v>
      </c>
      <c r="D16">
        <f t="shared" si="1"/>
        <v>0</v>
      </c>
      <c r="E16">
        <v>2</v>
      </c>
      <c r="F16">
        <v>2</v>
      </c>
    </row>
    <row r="17" spans="1:6" x14ac:dyDescent="0.25">
      <c r="A17" t="str">
        <f>Stammdaten!A19&amp;", "&amp;Stammdaten!B19</f>
        <v>Tannenhof, Gina</v>
      </c>
      <c r="B17">
        <f>LN_GLN1!C21</f>
        <v>0</v>
      </c>
      <c r="C17">
        <f t="shared" si="0"/>
        <v>0</v>
      </c>
      <c r="D17">
        <f t="shared" si="1"/>
        <v>0</v>
      </c>
      <c r="E17">
        <v>2</v>
      </c>
      <c r="F17">
        <v>2</v>
      </c>
    </row>
    <row r="18" spans="1:6" x14ac:dyDescent="0.25">
      <c r="A18" t="str">
        <f>Stammdaten!A20&amp;", "&amp;Stammdaten!B20</f>
        <v>Lindenfels, Miro</v>
      </c>
      <c r="B18">
        <f>LN_GLN1!C22</f>
        <v>0</v>
      </c>
      <c r="C18">
        <f t="shared" si="0"/>
        <v>0</v>
      </c>
      <c r="D18">
        <f t="shared" si="1"/>
        <v>0</v>
      </c>
      <c r="E18">
        <v>1</v>
      </c>
      <c r="F18">
        <v>2</v>
      </c>
    </row>
    <row r="19" spans="1:6" x14ac:dyDescent="0.25">
      <c r="A19" t="str">
        <f>Stammdaten!A21&amp;", "&amp;Stammdaten!B21</f>
        <v>Adlerquell, Bino</v>
      </c>
      <c r="B19">
        <f>LN_GLN1!C23</f>
        <v>0</v>
      </c>
      <c r="C19">
        <f t="shared" si="0"/>
        <v>0</v>
      </c>
      <c r="D19">
        <f t="shared" si="1"/>
        <v>0</v>
      </c>
      <c r="E19">
        <v>1</v>
      </c>
      <c r="F19">
        <v>2</v>
      </c>
    </row>
    <row r="20" spans="1:6" x14ac:dyDescent="0.25">
      <c r="A20" t="str">
        <f>Stammdaten!A22&amp;", "&amp;Stammdaten!B22</f>
        <v>Bergquell, Caro</v>
      </c>
      <c r="B20">
        <f>LN_GLN1!C24</f>
        <v>0</v>
      </c>
      <c r="C20">
        <f t="shared" si="0"/>
        <v>0</v>
      </c>
      <c r="D20">
        <f t="shared" si="1"/>
        <v>0</v>
      </c>
      <c r="E20">
        <v>1</v>
      </c>
      <c r="F20">
        <v>2</v>
      </c>
    </row>
    <row r="21" spans="1:6" x14ac:dyDescent="0.25">
      <c r="A21" t="str">
        <f>Stammdaten!A23&amp;", "&amp;Stammdaten!B23</f>
        <v>Waldhauch, Gina</v>
      </c>
      <c r="B21">
        <f>LN_GLN1!C25</f>
        <v>0</v>
      </c>
      <c r="C21">
        <f t="shared" si="0"/>
        <v>0</v>
      </c>
      <c r="D21">
        <f t="shared" si="1"/>
        <v>0</v>
      </c>
      <c r="E21">
        <v>2</v>
      </c>
      <c r="F21">
        <v>2</v>
      </c>
    </row>
    <row r="22" spans="1:6" x14ac:dyDescent="0.25">
      <c r="A22" t="str">
        <f>Stammdaten!A24&amp;", "&amp;Stammdaten!B24</f>
        <v>Silbersee, Miro</v>
      </c>
      <c r="B22">
        <f>LN_GLN1!C26</f>
        <v>0</v>
      </c>
      <c r="C22">
        <f t="shared" si="0"/>
        <v>0</v>
      </c>
      <c r="D22">
        <f t="shared" si="1"/>
        <v>0</v>
      </c>
      <c r="E22">
        <v>1</v>
      </c>
    </row>
    <row r="23" spans="1:6" x14ac:dyDescent="0.25">
      <c r="A23" t="str">
        <f>Stammdaten!A25&amp;", "&amp;Stammdaten!B25</f>
        <v>Winterborn, Raya</v>
      </c>
      <c r="B23">
        <f>LN_GLN1!C27</f>
        <v>0</v>
      </c>
      <c r="C23">
        <f t="shared" si="0"/>
        <v>0</v>
      </c>
      <c r="D23">
        <f t="shared" si="1"/>
        <v>0</v>
      </c>
      <c r="E23">
        <v>2</v>
      </c>
      <c r="F23">
        <v>2</v>
      </c>
    </row>
    <row r="24" spans="1:6" x14ac:dyDescent="0.25">
      <c r="A24" t="str">
        <f>Stammdaten!A26&amp;", "&amp;Stammdaten!B26</f>
        <v>Rosenquarz, Ivo</v>
      </c>
      <c r="B24">
        <f>LN_GLN1!C28</f>
        <v>0</v>
      </c>
      <c r="C24">
        <f t="shared" si="0"/>
        <v>0</v>
      </c>
      <c r="D24">
        <f t="shared" si="1"/>
        <v>0</v>
      </c>
      <c r="E24">
        <v>1</v>
      </c>
      <c r="F24">
        <v>3</v>
      </c>
    </row>
    <row r="25" spans="1:6" x14ac:dyDescent="0.25">
      <c r="A25" t="str">
        <f>Stammdaten!A27&amp;", "&amp;Stammdaten!B27</f>
        <v>Mondenfels, Alma</v>
      </c>
      <c r="B25">
        <f>LN_GLN1!C29</f>
        <v>0</v>
      </c>
      <c r="C25">
        <f t="shared" si="0"/>
        <v>0</v>
      </c>
      <c r="D25">
        <f t="shared" si="1"/>
        <v>0</v>
      </c>
      <c r="E25">
        <v>1</v>
      </c>
      <c r="F25">
        <v>2</v>
      </c>
    </row>
    <row r="26" spans="1:6" x14ac:dyDescent="0.25">
      <c r="A26" t="str">
        <f>Stammdaten!A28&amp;", "&amp;Stammdaten!B28</f>
        <v>Wolkenberg, Navi</v>
      </c>
      <c r="B26">
        <f>LN_GLN1!C30</f>
        <v>0</v>
      </c>
      <c r="C26">
        <f t="shared" si="0"/>
        <v>0</v>
      </c>
      <c r="D26">
        <f t="shared" si="1"/>
        <v>0</v>
      </c>
      <c r="E26">
        <v>1</v>
      </c>
      <c r="F26">
        <v>1</v>
      </c>
    </row>
    <row r="27" spans="1:6" x14ac:dyDescent="0.25">
      <c r="A27" t="str">
        <f>Stammdaten!A29&amp;", "&amp;Stammdaten!B29</f>
        <v>Nordlicht, Navi</v>
      </c>
      <c r="B27">
        <f>LN_GLN1!C31</f>
        <v>0</v>
      </c>
      <c r="C27">
        <f t="shared" si="0"/>
        <v>0</v>
      </c>
      <c r="D27">
        <f t="shared" si="1"/>
        <v>0</v>
      </c>
      <c r="E27">
        <v>2</v>
      </c>
      <c r="F27">
        <v>1</v>
      </c>
    </row>
    <row r="28" spans="1:6" x14ac:dyDescent="0.25">
      <c r="A28" t="str">
        <f>Stammdaten!A30&amp;", "&amp;Stammdaten!B30</f>
        <v>Lindenfels, Hedi</v>
      </c>
      <c r="B28">
        <f>LN_GLN1!C32</f>
        <v>0</v>
      </c>
      <c r="C28">
        <f t="shared" si="0"/>
        <v>0</v>
      </c>
      <c r="D28">
        <f t="shared" si="1"/>
        <v>0</v>
      </c>
      <c r="E28">
        <v>2</v>
      </c>
      <c r="F28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8"/>
  <sheetViews>
    <sheetView workbookViewId="0"/>
  </sheetViews>
  <sheetFormatPr baseColWidth="10" defaultColWidth="9.140625" defaultRowHeight="15" x14ac:dyDescent="0.25"/>
  <cols>
    <col min="1" max="1" width="9" customWidth="1"/>
    <col min="2" max="2" width="11" customWidth="1"/>
    <col min="3" max="3" width="15" customWidth="1"/>
    <col min="4" max="4" width="13" customWidth="1"/>
    <col min="5" max="6" width="11" customWidth="1"/>
  </cols>
  <sheetData>
    <row r="1" spans="1:6" ht="30" customHeight="1" x14ac:dyDescent="0.25">
      <c r="A1" s="3" t="s">
        <v>60</v>
      </c>
      <c r="B1" s="3" t="s">
        <v>85</v>
      </c>
      <c r="C1" s="3" t="s">
        <v>81</v>
      </c>
      <c r="D1" s="3" t="s">
        <v>82</v>
      </c>
      <c r="E1" s="3" t="s">
        <v>83</v>
      </c>
      <c r="F1" s="3" t="s">
        <v>84</v>
      </c>
    </row>
    <row r="2" spans="1:6" x14ac:dyDescent="0.25">
      <c r="A2" t="str">
        <f>Stammdaten!A3&amp;", "&amp;Stammdaten!B3</f>
        <v>Farnheim, Goro</v>
      </c>
      <c r="B2">
        <f>'LN_SÜ Krypto'!M5</f>
        <v>4</v>
      </c>
      <c r="C2">
        <f t="shared" ref="C2:C28" si="0">AVERAGE(B2:B2)</f>
        <v>4</v>
      </c>
      <c r="D2">
        <f t="shared" ref="D2:D28" si="1">ROUND(C2,0)</f>
        <v>4</v>
      </c>
      <c r="E2">
        <v>1</v>
      </c>
      <c r="F2">
        <v>2</v>
      </c>
    </row>
    <row r="3" spans="1:6" x14ac:dyDescent="0.25">
      <c r="A3" t="str">
        <f>Stammdaten!A4&amp;", "&amp;Stammdaten!B4</f>
        <v>Silbersee, Caro</v>
      </c>
      <c r="B3">
        <f>'LN_SÜ Krypto'!M6</f>
        <v>9</v>
      </c>
      <c r="C3">
        <f t="shared" si="0"/>
        <v>9</v>
      </c>
      <c r="D3">
        <f t="shared" si="1"/>
        <v>9</v>
      </c>
      <c r="F3">
        <v>2</v>
      </c>
    </row>
    <row r="4" spans="1:6" x14ac:dyDescent="0.25">
      <c r="A4" t="str">
        <f>Stammdaten!A5&amp;", "&amp;Stammdaten!B5</f>
        <v>Adlerquell, Weya</v>
      </c>
      <c r="B4">
        <f>'LN_SÜ Krypto'!M7</f>
        <v>8</v>
      </c>
      <c r="C4">
        <f t="shared" si="0"/>
        <v>8</v>
      </c>
      <c r="D4">
        <f t="shared" si="1"/>
        <v>8</v>
      </c>
      <c r="E4">
        <v>2</v>
      </c>
      <c r="F4">
        <v>3</v>
      </c>
    </row>
    <row r="5" spans="1:6" x14ac:dyDescent="0.25">
      <c r="A5" t="str">
        <f>Stammdaten!A6&amp;", "&amp;Stammdaten!B6</f>
        <v>Talwind, Demi</v>
      </c>
      <c r="B5">
        <f>'LN_SÜ Krypto'!M8</f>
        <v>12</v>
      </c>
      <c r="C5">
        <f t="shared" si="0"/>
        <v>12</v>
      </c>
      <c r="D5">
        <f t="shared" si="1"/>
        <v>12</v>
      </c>
      <c r="E5">
        <v>2</v>
      </c>
      <c r="F5">
        <v>1</v>
      </c>
    </row>
    <row r="6" spans="1:6" x14ac:dyDescent="0.25">
      <c r="A6" t="str">
        <f>Stammdaten!A7&amp;", "&amp;Stammdaten!B7</f>
        <v>Nachtigall, Alma</v>
      </c>
      <c r="B6">
        <f>'LN_SÜ Krypto'!M9</f>
        <v>11</v>
      </c>
      <c r="C6">
        <f t="shared" si="0"/>
        <v>11</v>
      </c>
      <c r="D6">
        <f t="shared" si="1"/>
        <v>11</v>
      </c>
      <c r="E6">
        <v>1</v>
      </c>
      <c r="F6">
        <v>1</v>
      </c>
    </row>
    <row r="7" spans="1:6" x14ac:dyDescent="0.25">
      <c r="A7" t="str">
        <f>Stammdaten!A8&amp;", "&amp;Stammdaten!B8</f>
        <v>Kieselhain, Tino</v>
      </c>
      <c r="B7">
        <f>'LN_SÜ Krypto'!M10</f>
        <v>13</v>
      </c>
      <c r="C7">
        <f t="shared" si="0"/>
        <v>13</v>
      </c>
      <c r="D7">
        <f t="shared" si="1"/>
        <v>13</v>
      </c>
      <c r="E7">
        <v>1</v>
      </c>
      <c r="F7">
        <v>2</v>
      </c>
    </row>
    <row r="8" spans="1:6" x14ac:dyDescent="0.25">
      <c r="A8" t="str">
        <f>Stammdaten!A9&amp;", "&amp;Stammdaten!B9</f>
        <v>Talwind, Goro</v>
      </c>
      <c r="B8">
        <f>'LN_SÜ Krypto'!M11</f>
        <v>5</v>
      </c>
      <c r="C8">
        <f t="shared" si="0"/>
        <v>5</v>
      </c>
      <c r="D8">
        <f t="shared" si="1"/>
        <v>5</v>
      </c>
      <c r="E8">
        <v>1</v>
      </c>
      <c r="F8">
        <v>1</v>
      </c>
    </row>
    <row r="9" spans="1:6" x14ac:dyDescent="0.25">
      <c r="A9" t="str">
        <f>Stammdaten!A10&amp;", "&amp;Stammdaten!B10</f>
        <v>Kornfeld, Nerio</v>
      </c>
      <c r="B9">
        <f>'LN_SÜ Krypto'!M12</f>
        <v>11</v>
      </c>
      <c r="C9">
        <f t="shared" si="0"/>
        <v>11</v>
      </c>
      <c r="D9">
        <f t="shared" si="1"/>
        <v>11</v>
      </c>
      <c r="E9">
        <v>2</v>
      </c>
      <c r="F9">
        <v>2</v>
      </c>
    </row>
    <row r="10" spans="1:6" x14ac:dyDescent="0.25">
      <c r="A10" t="str">
        <f>Stammdaten!A11&amp;", "&amp;Stammdaten!B11</f>
        <v>Rosenquarz, Vito</v>
      </c>
      <c r="B10">
        <f>'LN_SÜ Krypto'!M13</f>
        <v>6</v>
      </c>
      <c r="C10">
        <f t="shared" si="0"/>
        <v>6</v>
      </c>
      <c r="D10">
        <f t="shared" si="1"/>
        <v>6</v>
      </c>
      <c r="E10">
        <v>2</v>
      </c>
      <c r="F10">
        <v>2</v>
      </c>
    </row>
    <row r="11" spans="1:6" x14ac:dyDescent="0.25">
      <c r="A11" t="str">
        <f>Stammdaten!A12&amp;", "&amp;Stammdaten!B12</f>
        <v>Seidenberg, Miro</v>
      </c>
      <c r="B11">
        <f>'LN_SÜ Krypto'!M14</f>
        <v>2</v>
      </c>
      <c r="C11">
        <f t="shared" si="0"/>
        <v>2</v>
      </c>
      <c r="D11">
        <f t="shared" si="1"/>
        <v>2</v>
      </c>
      <c r="E11">
        <v>2</v>
      </c>
      <c r="F11">
        <v>2</v>
      </c>
    </row>
    <row r="12" spans="1:6" x14ac:dyDescent="0.25">
      <c r="A12" t="str">
        <f>Stammdaten!A13&amp;", "&amp;Stammdaten!B13</f>
        <v>Kieselhain, Pia</v>
      </c>
      <c r="B12">
        <f>'LN_SÜ Krypto'!M15</f>
        <v>9</v>
      </c>
      <c r="C12">
        <f t="shared" si="0"/>
        <v>9</v>
      </c>
      <c r="D12">
        <f t="shared" si="1"/>
        <v>9</v>
      </c>
      <c r="E12">
        <v>2</v>
      </c>
      <c r="F12">
        <v>2</v>
      </c>
    </row>
    <row r="13" spans="1:6" x14ac:dyDescent="0.25">
      <c r="A13" t="str">
        <f>Stammdaten!A14&amp;", "&amp;Stammdaten!B14</f>
        <v>Blaustein, Miro</v>
      </c>
      <c r="B13">
        <f>'LN_SÜ Krypto'!M16</f>
        <v>12</v>
      </c>
      <c r="C13">
        <f t="shared" si="0"/>
        <v>12</v>
      </c>
      <c r="D13">
        <f t="shared" si="1"/>
        <v>12</v>
      </c>
      <c r="E13">
        <v>2</v>
      </c>
      <c r="F13">
        <v>3</v>
      </c>
    </row>
    <row r="14" spans="1:6" x14ac:dyDescent="0.25">
      <c r="A14" t="str">
        <f>Stammdaten!A15&amp;", "&amp;Stammdaten!B15</f>
        <v>Bergquell, Ari</v>
      </c>
      <c r="B14">
        <f>'LN_SÜ Krypto'!M17</f>
        <v>5</v>
      </c>
      <c r="C14">
        <f t="shared" si="0"/>
        <v>5</v>
      </c>
      <c r="D14">
        <f t="shared" si="1"/>
        <v>5</v>
      </c>
      <c r="E14">
        <v>2</v>
      </c>
      <c r="F14">
        <v>2</v>
      </c>
    </row>
    <row r="15" spans="1:6" x14ac:dyDescent="0.25">
      <c r="A15" t="str">
        <f>Stammdaten!A16&amp;", "&amp;Stammdaten!B16</f>
        <v>Talwind, Jari</v>
      </c>
      <c r="B15">
        <f>'LN_SÜ Krypto'!M18</f>
        <v>13</v>
      </c>
      <c r="C15">
        <f t="shared" si="0"/>
        <v>13</v>
      </c>
      <c r="D15">
        <f t="shared" si="1"/>
        <v>13</v>
      </c>
      <c r="E15">
        <v>2</v>
      </c>
      <c r="F15">
        <v>2</v>
      </c>
    </row>
    <row r="16" spans="1:6" x14ac:dyDescent="0.25">
      <c r="A16" t="str">
        <f>Stammdaten!A17&amp;", "&amp;Stammdaten!B17</f>
        <v>Farnheim, Bino</v>
      </c>
      <c r="B16">
        <f>'LN_SÜ Krypto'!M19</f>
        <v>6</v>
      </c>
      <c r="C16">
        <f t="shared" si="0"/>
        <v>6</v>
      </c>
      <c r="D16">
        <f t="shared" si="1"/>
        <v>6</v>
      </c>
      <c r="E16">
        <v>2</v>
      </c>
      <c r="F16">
        <v>2</v>
      </c>
    </row>
    <row r="17" spans="1:6" x14ac:dyDescent="0.25">
      <c r="A17" t="str">
        <f>Stammdaten!A19&amp;", "&amp;Stammdaten!B19</f>
        <v>Tannenhof, Gina</v>
      </c>
      <c r="B17">
        <f>'LN_SÜ Krypto'!M20</f>
        <v>8</v>
      </c>
      <c r="C17">
        <f t="shared" si="0"/>
        <v>8</v>
      </c>
      <c r="D17">
        <f t="shared" si="1"/>
        <v>8</v>
      </c>
      <c r="E17">
        <v>2</v>
      </c>
      <c r="F17">
        <v>2</v>
      </c>
    </row>
    <row r="18" spans="1:6" x14ac:dyDescent="0.25">
      <c r="A18" t="str">
        <f>Stammdaten!A20&amp;", "&amp;Stammdaten!B20</f>
        <v>Lindenfels, Miro</v>
      </c>
      <c r="B18">
        <f>'LN_SÜ Krypto'!M21</f>
        <v>6</v>
      </c>
      <c r="C18">
        <f t="shared" si="0"/>
        <v>6</v>
      </c>
      <c r="D18">
        <f t="shared" si="1"/>
        <v>6</v>
      </c>
      <c r="E18">
        <v>1</v>
      </c>
      <c r="F18">
        <v>1</v>
      </c>
    </row>
    <row r="19" spans="1:6" x14ac:dyDescent="0.25">
      <c r="A19" t="str">
        <f>Stammdaten!A21&amp;", "&amp;Stammdaten!B21</f>
        <v>Adlerquell, Bino</v>
      </c>
      <c r="B19">
        <f>'LN_SÜ Krypto'!M22</f>
        <v>12</v>
      </c>
      <c r="C19">
        <f t="shared" si="0"/>
        <v>12</v>
      </c>
      <c r="D19">
        <f t="shared" si="1"/>
        <v>12</v>
      </c>
      <c r="E19">
        <v>1</v>
      </c>
      <c r="F19">
        <v>3</v>
      </c>
    </row>
    <row r="20" spans="1:6" x14ac:dyDescent="0.25">
      <c r="A20" t="str">
        <f>Stammdaten!A22&amp;", "&amp;Stammdaten!B22</f>
        <v>Bergquell, Caro</v>
      </c>
      <c r="B20">
        <f>'LN_SÜ Krypto'!M23</f>
        <v>4</v>
      </c>
      <c r="C20">
        <f t="shared" si="0"/>
        <v>4</v>
      </c>
      <c r="D20">
        <f t="shared" si="1"/>
        <v>4</v>
      </c>
      <c r="E20">
        <v>1</v>
      </c>
      <c r="F20">
        <v>2</v>
      </c>
    </row>
    <row r="21" spans="1:6" x14ac:dyDescent="0.25">
      <c r="A21" t="str">
        <f>Stammdaten!A23&amp;", "&amp;Stammdaten!B23</f>
        <v>Waldhauch, Gina</v>
      </c>
      <c r="B21">
        <f>'LN_SÜ Krypto'!M24</f>
        <v>14</v>
      </c>
      <c r="C21">
        <f t="shared" si="0"/>
        <v>14</v>
      </c>
      <c r="D21">
        <f t="shared" si="1"/>
        <v>14</v>
      </c>
      <c r="E21">
        <v>2</v>
      </c>
      <c r="F21">
        <v>1</v>
      </c>
    </row>
    <row r="22" spans="1:6" x14ac:dyDescent="0.25">
      <c r="A22" t="str">
        <f>Stammdaten!A24&amp;", "&amp;Stammdaten!B24</f>
        <v>Silbersee, Miro</v>
      </c>
      <c r="B22">
        <f>'LN_SÜ Krypto'!M25</f>
        <v>15</v>
      </c>
      <c r="C22">
        <f t="shared" si="0"/>
        <v>15</v>
      </c>
      <c r="D22">
        <f t="shared" si="1"/>
        <v>15</v>
      </c>
      <c r="E22">
        <v>1</v>
      </c>
    </row>
    <row r="23" spans="1:6" x14ac:dyDescent="0.25">
      <c r="A23" t="str">
        <f>Stammdaten!A25&amp;", "&amp;Stammdaten!B25</f>
        <v>Winterborn, Raya</v>
      </c>
      <c r="B23">
        <f>'LN_SÜ Krypto'!M26</f>
        <v>14</v>
      </c>
      <c r="C23">
        <f t="shared" si="0"/>
        <v>14</v>
      </c>
      <c r="D23">
        <f t="shared" si="1"/>
        <v>14</v>
      </c>
      <c r="E23">
        <v>2</v>
      </c>
      <c r="F23">
        <v>3</v>
      </c>
    </row>
    <row r="24" spans="1:6" x14ac:dyDescent="0.25">
      <c r="A24" t="str">
        <f>Stammdaten!A26&amp;", "&amp;Stammdaten!B26</f>
        <v>Rosenquarz, Ivo</v>
      </c>
      <c r="B24">
        <f>'LN_SÜ Krypto'!M27</f>
        <v>6</v>
      </c>
      <c r="C24">
        <f t="shared" si="0"/>
        <v>6</v>
      </c>
      <c r="D24">
        <f t="shared" si="1"/>
        <v>6</v>
      </c>
      <c r="E24">
        <v>1</v>
      </c>
      <c r="F24">
        <v>2</v>
      </c>
    </row>
    <row r="25" spans="1:6" x14ac:dyDescent="0.25">
      <c r="A25" t="str">
        <f>Stammdaten!A27&amp;", "&amp;Stammdaten!B27</f>
        <v>Mondenfels, Alma</v>
      </c>
      <c r="B25">
        <f>'LN_SÜ Krypto'!M28</f>
        <v>13</v>
      </c>
      <c r="C25">
        <f t="shared" si="0"/>
        <v>13</v>
      </c>
      <c r="D25">
        <f t="shared" si="1"/>
        <v>13</v>
      </c>
      <c r="E25">
        <v>1</v>
      </c>
      <c r="F25">
        <v>1</v>
      </c>
    </row>
    <row r="26" spans="1:6" x14ac:dyDescent="0.25">
      <c r="A26" t="str">
        <f>Stammdaten!A28&amp;", "&amp;Stammdaten!B28</f>
        <v>Wolkenberg, Navi</v>
      </c>
      <c r="B26">
        <f>'LN_SÜ Krypto'!M29</f>
        <v>12</v>
      </c>
      <c r="C26">
        <f t="shared" si="0"/>
        <v>12</v>
      </c>
      <c r="D26">
        <f t="shared" si="1"/>
        <v>12</v>
      </c>
      <c r="E26">
        <v>1</v>
      </c>
      <c r="F26">
        <v>1</v>
      </c>
    </row>
    <row r="27" spans="1:6" x14ac:dyDescent="0.25">
      <c r="A27" t="str">
        <f>Stammdaten!A29&amp;", "&amp;Stammdaten!B29</f>
        <v>Nordlicht, Navi</v>
      </c>
      <c r="B27">
        <f>'LN_SÜ Krypto'!M30</f>
        <v>8</v>
      </c>
      <c r="C27">
        <f t="shared" si="0"/>
        <v>8</v>
      </c>
      <c r="D27">
        <f t="shared" si="1"/>
        <v>8</v>
      </c>
      <c r="E27">
        <v>2</v>
      </c>
      <c r="F27">
        <v>1</v>
      </c>
    </row>
    <row r="28" spans="1:6" x14ac:dyDescent="0.25">
      <c r="A28" t="str">
        <f>Stammdaten!A30&amp;", "&amp;Stammdaten!B30</f>
        <v>Lindenfels, Hedi</v>
      </c>
      <c r="B28">
        <f>'LN_SÜ Krypto'!M31</f>
        <v>14</v>
      </c>
      <c r="C28">
        <f t="shared" si="0"/>
        <v>14</v>
      </c>
      <c r="D28">
        <f t="shared" si="1"/>
        <v>14</v>
      </c>
      <c r="E28">
        <v>2</v>
      </c>
      <c r="F28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/>
  </sheetViews>
  <sheetFormatPr baseColWidth="10" defaultColWidth="9.140625" defaultRowHeight="15" x14ac:dyDescent="0.25"/>
  <cols>
    <col min="1" max="1" width="9" customWidth="1"/>
    <col min="2" max="2" width="8" customWidth="1"/>
    <col min="3" max="3" width="11" customWidth="1"/>
    <col min="4" max="4" width="15" customWidth="1"/>
    <col min="5" max="5" width="13" customWidth="1"/>
    <col min="6" max="7" width="11" customWidth="1"/>
  </cols>
  <sheetData>
    <row r="1" spans="1:7" ht="30" customHeight="1" x14ac:dyDescent="0.25">
      <c r="A1" s="3" t="s">
        <v>60</v>
      </c>
      <c r="B1" s="3" t="s">
        <v>80</v>
      </c>
      <c r="C1" s="3" t="s">
        <v>85</v>
      </c>
      <c r="D1" s="3" t="s">
        <v>81</v>
      </c>
      <c r="E1" s="3" t="s">
        <v>82</v>
      </c>
      <c r="F1" s="3" t="s">
        <v>83</v>
      </c>
      <c r="G1" s="3" t="s">
        <v>84</v>
      </c>
    </row>
    <row r="2" spans="1:7" x14ac:dyDescent="0.25">
      <c r="A2" t="str">
        <f>Stammdaten!A3&amp;", "&amp;Stammdaten!B3</f>
        <v>Farnheim, Goro</v>
      </c>
      <c r="B2">
        <f>LN_GLN1!C5</f>
        <v>0</v>
      </c>
      <c r="C2">
        <f>'LN_SÜ Krypto'!M5</f>
        <v>4</v>
      </c>
      <c r="D2">
        <f t="shared" ref="D2:D28" si="0">AVERAGE(B2:C2)</f>
        <v>2</v>
      </c>
      <c r="E2">
        <f t="shared" ref="E2:E28" si="1">ROUND(D2,0)</f>
        <v>2</v>
      </c>
      <c r="F2">
        <v>1</v>
      </c>
      <c r="G2">
        <v>2</v>
      </c>
    </row>
    <row r="3" spans="1:7" x14ac:dyDescent="0.25">
      <c r="A3" t="str">
        <f>Stammdaten!A4&amp;", "&amp;Stammdaten!B4</f>
        <v>Silbersee, Caro</v>
      </c>
      <c r="B3">
        <f>LN_GLN1!C6</f>
        <v>0</v>
      </c>
      <c r="C3">
        <f>'LN_SÜ Krypto'!M6</f>
        <v>9</v>
      </c>
      <c r="D3">
        <f t="shared" si="0"/>
        <v>4.5</v>
      </c>
      <c r="E3">
        <f t="shared" si="1"/>
        <v>5</v>
      </c>
      <c r="G3">
        <v>2</v>
      </c>
    </row>
    <row r="4" spans="1:7" x14ac:dyDescent="0.25">
      <c r="A4" t="str">
        <f>Stammdaten!A5&amp;", "&amp;Stammdaten!B5</f>
        <v>Adlerquell, Weya</v>
      </c>
      <c r="B4">
        <f>LN_GLN1!C7</f>
        <v>0</v>
      </c>
      <c r="C4">
        <f>'LN_SÜ Krypto'!M7</f>
        <v>8</v>
      </c>
      <c r="D4">
        <f t="shared" si="0"/>
        <v>4</v>
      </c>
      <c r="E4">
        <f t="shared" si="1"/>
        <v>4</v>
      </c>
      <c r="F4">
        <v>2</v>
      </c>
      <c r="G4">
        <v>3</v>
      </c>
    </row>
    <row r="5" spans="1:7" x14ac:dyDescent="0.25">
      <c r="A5" t="str">
        <f>Stammdaten!A6&amp;", "&amp;Stammdaten!B6</f>
        <v>Talwind, Demi</v>
      </c>
      <c r="B5">
        <f>LN_GLN1!C8</f>
        <v>0</v>
      </c>
      <c r="C5">
        <f>'LN_SÜ Krypto'!M8</f>
        <v>12</v>
      </c>
      <c r="D5">
        <f t="shared" si="0"/>
        <v>6</v>
      </c>
      <c r="E5">
        <f t="shared" si="1"/>
        <v>6</v>
      </c>
      <c r="F5">
        <v>2</v>
      </c>
      <c r="G5">
        <v>1</v>
      </c>
    </row>
    <row r="6" spans="1:7" x14ac:dyDescent="0.25">
      <c r="A6" t="str">
        <f>Stammdaten!A7&amp;", "&amp;Stammdaten!B7</f>
        <v>Nachtigall, Alma</v>
      </c>
      <c r="B6">
        <f>LN_GLN1!C9</f>
        <v>0</v>
      </c>
      <c r="C6">
        <f>'LN_SÜ Krypto'!M9</f>
        <v>11</v>
      </c>
      <c r="D6">
        <f t="shared" si="0"/>
        <v>5.5</v>
      </c>
      <c r="E6">
        <f t="shared" si="1"/>
        <v>6</v>
      </c>
      <c r="F6">
        <v>1</v>
      </c>
      <c r="G6">
        <v>1</v>
      </c>
    </row>
    <row r="7" spans="1:7" x14ac:dyDescent="0.25">
      <c r="A7" t="str">
        <f>Stammdaten!A8&amp;", "&amp;Stammdaten!B8</f>
        <v>Kieselhain, Tino</v>
      </c>
      <c r="B7">
        <f>LN_GLN1!C10</f>
        <v>0</v>
      </c>
      <c r="C7">
        <f>'LN_SÜ Krypto'!M10</f>
        <v>13</v>
      </c>
      <c r="D7">
        <f t="shared" si="0"/>
        <v>6.5</v>
      </c>
      <c r="E7">
        <f t="shared" si="1"/>
        <v>7</v>
      </c>
      <c r="F7">
        <v>1</v>
      </c>
      <c r="G7">
        <v>2</v>
      </c>
    </row>
    <row r="8" spans="1:7" x14ac:dyDescent="0.25">
      <c r="A8" t="str">
        <f>Stammdaten!A9&amp;", "&amp;Stammdaten!B9</f>
        <v>Talwind, Goro</v>
      </c>
      <c r="B8">
        <f>LN_GLN1!C11</f>
        <v>0</v>
      </c>
      <c r="C8">
        <f>'LN_SÜ Krypto'!M11</f>
        <v>5</v>
      </c>
      <c r="D8">
        <f t="shared" si="0"/>
        <v>2.5</v>
      </c>
      <c r="E8">
        <f t="shared" si="1"/>
        <v>3</v>
      </c>
      <c r="F8">
        <v>1</v>
      </c>
      <c r="G8">
        <v>1</v>
      </c>
    </row>
    <row r="9" spans="1:7" x14ac:dyDescent="0.25">
      <c r="A9" t="str">
        <f>Stammdaten!A10&amp;", "&amp;Stammdaten!B10</f>
        <v>Kornfeld, Nerio</v>
      </c>
      <c r="B9">
        <f>LN_GLN1!C12</f>
        <v>0</v>
      </c>
      <c r="C9">
        <f>'LN_SÜ Krypto'!M12</f>
        <v>11</v>
      </c>
      <c r="D9">
        <f t="shared" si="0"/>
        <v>5.5</v>
      </c>
      <c r="E9">
        <f t="shared" si="1"/>
        <v>6</v>
      </c>
      <c r="F9">
        <v>2</v>
      </c>
      <c r="G9">
        <v>2</v>
      </c>
    </row>
    <row r="10" spans="1:7" x14ac:dyDescent="0.25">
      <c r="A10" t="str">
        <f>Stammdaten!A11&amp;", "&amp;Stammdaten!B11</f>
        <v>Rosenquarz, Vito</v>
      </c>
      <c r="B10">
        <f>LN_GLN1!C13</f>
        <v>0</v>
      </c>
      <c r="C10">
        <f>'LN_SÜ Krypto'!M13</f>
        <v>6</v>
      </c>
      <c r="D10">
        <f t="shared" si="0"/>
        <v>3</v>
      </c>
      <c r="E10">
        <f t="shared" si="1"/>
        <v>3</v>
      </c>
      <c r="F10">
        <v>2</v>
      </c>
      <c r="G10">
        <v>2</v>
      </c>
    </row>
    <row r="11" spans="1:7" x14ac:dyDescent="0.25">
      <c r="A11" t="str">
        <f>Stammdaten!A12&amp;", "&amp;Stammdaten!B12</f>
        <v>Seidenberg, Miro</v>
      </c>
      <c r="B11">
        <f>LN_GLN1!C14</f>
        <v>0</v>
      </c>
      <c r="C11">
        <f>'LN_SÜ Krypto'!M14</f>
        <v>2</v>
      </c>
      <c r="D11">
        <f t="shared" si="0"/>
        <v>1</v>
      </c>
      <c r="E11">
        <f t="shared" si="1"/>
        <v>1</v>
      </c>
      <c r="F11">
        <v>2</v>
      </c>
      <c r="G11">
        <v>2</v>
      </c>
    </row>
    <row r="12" spans="1:7" x14ac:dyDescent="0.25">
      <c r="A12" t="str">
        <f>Stammdaten!A13&amp;", "&amp;Stammdaten!B13</f>
        <v>Kieselhain, Pia</v>
      </c>
      <c r="B12">
        <f>LN_GLN1!C15</f>
        <v>0</v>
      </c>
      <c r="C12">
        <f>'LN_SÜ Krypto'!M15</f>
        <v>9</v>
      </c>
      <c r="D12">
        <f t="shared" si="0"/>
        <v>4.5</v>
      </c>
      <c r="E12">
        <f t="shared" si="1"/>
        <v>5</v>
      </c>
      <c r="F12">
        <v>2</v>
      </c>
      <c r="G12">
        <v>2</v>
      </c>
    </row>
    <row r="13" spans="1:7" x14ac:dyDescent="0.25">
      <c r="A13" t="str">
        <f>Stammdaten!A14&amp;", "&amp;Stammdaten!B14</f>
        <v>Blaustein, Miro</v>
      </c>
      <c r="B13">
        <f>LN_GLN1!C16</f>
        <v>0</v>
      </c>
      <c r="C13">
        <f>'LN_SÜ Krypto'!M16</f>
        <v>12</v>
      </c>
      <c r="D13">
        <f t="shared" si="0"/>
        <v>6</v>
      </c>
      <c r="E13">
        <f t="shared" si="1"/>
        <v>6</v>
      </c>
      <c r="F13">
        <v>2</v>
      </c>
      <c r="G13">
        <v>3</v>
      </c>
    </row>
    <row r="14" spans="1:7" x14ac:dyDescent="0.25">
      <c r="A14" t="str">
        <f>Stammdaten!A15&amp;", "&amp;Stammdaten!B15</f>
        <v>Bergquell, Ari</v>
      </c>
      <c r="B14">
        <f>LN_GLN1!C17</f>
        <v>0</v>
      </c>
      <c r="C14">
        <f>'LN_SÜ Krypto'!M17</f>
        <v>5</v>
      </c>
      <c r="D14">
        <f t="shared" si="0"/>
        <v>2.5</v>
      </c>
      <c r="E14">
        <f t="shared" si="1"/>
        <v>3</v>
      </c>
      <c r="F14">
        <v>2</v>
      </c>
      <c r="G14">
        <v>2</v>
      </c>
    </row>
    <row r="15" spans="1:7" x14ac:dyDescent="0.25">
      <c r="A15" t="str">
        <f>Stammdaten!A16&amp;", "&amp;Stammdaten!B16</f>
        <v>Talwind, Jari</v>
      </c>
      <c r="B15">
        <f>LN_GLN1!C18</f>
        <v>0</v>
      </c>
      <c r="C15">
        <f>'LN_SÜ Krypto'!M18</f>
        <v>13</v>
      </c>
      <c r="D15">
        <f t="shared" si="0"/>
        <v>6.5</v>
      </c>
      <c r="E15">
        <f t="shared" si="1"/>
        <v>7</v>
      </c>
      <c r="F15">
        <v>2</v>
      </c>
      <c r="G15">
        <v>2</v>
      </c>
    </row>
    <row r="16" spans="1:7" x14ac:dyDescent="0.25">
      <c r="A16" t="str">
        <f>Stammdaten!A17&amp;", "&amp;Stammdaten!B17</f>
        <v>Farnheim, Bino</v>
      </c>
      <c r="B16">
        <f>LN_GLN1!C19</f>
        <v>0</v>
      </c>
      <c r="C16">
        <f>'LN_SÜ Krypto'!M19</f>
        <v>6</v>
      </c>
      <c r="D16">
        <f t="shared" si="0"/>
        <v>3</v>
      </c>
      <c r="E16">
        <f t="shared" si="1"/>
        <v>3</v>
      </c>
      <c r="F16">
        <v>2</v>
      </c>
      <c r="G16">
        <v>2</v>
      </c>
    </row>
    <row r="17" spans="1:7" x14ac:dyDescent="0.25">
      <c r="A17" t="str">
        <f>Stammdaten!A19&amp;", "&amp;Stammdaten!B19</f>
        <v>Tannenhof, Gina</v>
      </c>
      <c r="B17">
        <f>LN_GLN1!C21</f>
        <v>0</v>
      </c>
      <c r="C17">
        <f>'LN_SÜ Krypto'!M20</f>
        <v>8</v>
      </c>
      <c r="D17">
        <f t="shared" si="0"/>
        <v>4</v>
      </c>
      <c r="E17">
        <f t="shared" si="1"/>
        <v>4</v>
      </c>
      <c r="F17">
        <v>2</v>
      </c>
      <c r="G17">
        <v>2</v>
      </c>
    </row>
    <row r="18" spans="1:7" x14ac:dyDescent="0.25">
      <c r="A18" t="str">
        <f>Stammdaten!A20&amp;", "&amp;Stammdaten!B20</f>
        <v>Lindenfels, Miro</v>
      </c>
      <c r="B18">
        <f>LN_GLN1!C22</f>
        <v>0</v>
      </c>
      <c r="C18">
        <f>'LN_SÜ Krypto'!M21</f>
        <v>6</v>
      </c>
      <c r="D18">
        <f t="shared" si="0"/>
        <v>3</v>
      </c>
      <c r="E18">
        <f t="shared" si="1"/>
        <v>3</v>
      </c>
      <c r="F18">
        <v>1</v>
      </c>
      <c r="G18">
        <v>1</v>
      </c>
    </row>
    <row r="19" spans="1:7" x14ac:dyDescent="0.25">
      <c r="A19" t="str">
        <f>Stammdaten!A21&amp;", "&amp;Stammdaten!B21</f>
        <v>Adlerquell, Bino</v>
      </c>
      <c r="B19">
        <f>LN_GLN1!C23</f>
        <v>0</v>
      </c>
      <c r="C19">
        <f>'LN_SÜ Krypto'!M22</f>
        <v>12</v>
      </c>
      <c r="D19">
        <f t="shared" si="0"/>
        <v>6</v>
      </c>
      <c r="E19">
        <f t="shared" si="1"/>
        <v>6</v>
      </c>
      <c r="F19">
        <v>1</v>
      </c>
      <c r="G19">
        <v>3</v>
      </c>
    </row>
    <row r="20" spans="1:7" x14ac:dyDescent="0.25">
      <c r="A20" t="str">
        <f>Stammdaten!A22&amp;", "&amp;Stammdaten!B22</f>
        <v>Bergquell, Caro</v>
      </c>
      <c r="B20">
        <f>LN_GLN1!C24</f>
        <v>0</v>
      </c>
      <c r="C20">
        <f>'LN_SÜ Krypto'!M23</f>
        <v>4</v>
      </c>
      <c r="D20">
        <f t="shared" si="0"/>
        <v>2</v>
      </c>
      <c r="E20">
        <f t="shared" si="1"/>
        <v>2</v>
      </c>
      <c r="F20">
        <v>1</v>
      </c>
      <c r="G20">
        <v>2</v>
      </c>
    </row>
    <row r="21" spans="1:7" x14ac:dyDescent="0.25">
      <c r="A21" t="str">
        <f>Stammdaten!A23&amp;", "&amp;Stammdaten!B23</f>
        <v>Waldhauch, Gina</v>
      </c>
      <c r="B21">
        <f>LN_GLN1!C25</f>
        <v>0</v>
      </c>
      <c r="C21">
        <f>'LN_SÜ Krypto'!M24</f>
        <v>14</v>
      </c>
      <c r="D21">
        <f t="shared" si="0"/>
        <v>7</v>
      </c>
      <c r="E21">
        <f t="shared" si="1"/>
        <v>7</v>
      </c>
      <c r="F21">
        <v>2</v>
      </c>
      <c r="G21">
        <v>1</v>
      </c>
    </row>
    <row r="22" spans="1:7" x14ac:dyDescent="0.25">
      <c r="A22" t="str">
        <f>Stammdaten!A24&amp;", "&amp;Stammdaten!B24</f>
        <v>Silbersee, Miro</v>
      </c>
      <c r="B22">
        <f>LN_GLN1!C26</f>
        <v>0</v>
      </c>
      <c r="C22">
        <f>'LN_SÜ Krypto'!M25</f>
        <v>15</v>
      </c>
      <c r="D22">
        <f t="shared" si="0"/>
        <v>7.5</v>
      </c>
      <c r="E22">
        <f t="shared" si="1"/>
        <v>8</v>
      </c>
      <c r="F22">
        <v>1</v>
      </c>
    </row>
    <row r="23" spans="1:7" x14ac:dyDescent="0.25">
      <c r="A23" t="str">
        <f>Stammdaten!A25&amp;", "&amp;Stammdaten!B25</f>
        <v>Winterborn, Raya</v>
      </c>
      <c r="B23">
        <f>LN_GLN1!C27</f>
        <v>0</v>
      </c>
      <c r="C23">
        <f>'LN_SÜ Krypto'!M26</f>
        <v>14</v>
      </c>
      <c r="D23">
        <f t="shared" si="0"/>
        <v>7</v>
      </c>
      <c r="E23">
        <f t="shared" si="1"/>
        <v>7</v>
      </c>
      <c r="F23">
        <v>2</v>
      </c>
      <c r="G23">
        <v>3</v>
      </c>
    </row>
    <row r="24" spans="1:7" x14ac:dyDescent="0.25">
      <c r="A24" t="str">
        <f>Stammdaten!A26&amp;", "&amp;Stammdaten!B26</f>
        <v>Rosenquarz, Ivo</v>
      </c>
      <c r="B24">
        <f>LN_GLN1!C28</f>
        <v>0</v>
      </c>
      <c r="C24">
        <f>'LN_SÜ Krypto'!M27</f>
        <v>6</v>
      </c>
      <c r="D24">
        <f t="shared" si="0"/>
        <v>3</v>
      </c>
      <c r="E24">
        <f t="shared" si="1"/>
        <v>3</v>
      </c>
      <c r="F24">
        <v>1</v>
      </c>
      <c r="G24">
        <v>2</v>
      </c>
    </row>
    <row r="25" spans="1:7" x14ac:dyDescent="0.25">
      <c r="A25" t="str">
        <f>Stammdaten!A27&amp;", "&amp;Stammdaten!B27</f>
        <v>Mondenfels, Alma</v>
      </c>
      <c r="B25">
        <f>LN_GLN1!C29</f>
        <v>0</v>
      </c>
      <c r="C25">
        <f>'LN_SÜ Krypto'!M28</f>
        <v>13</v>
      </c>
      <c r="D25">
        <f t="shared" si="0"/>
        <v>6.5</v>
      </c>
      <c r="E25">
        <f t="shared" si="1"/>
        <v>7</v>
      </c>
      <c r="F25">
        <v>1</v>
      </c>
      <c r="G25">
        <v>1</v>
      </c>
    </row>
    <row r="26" spans="1:7" x14ac:dyDescent="0.25">
      <c r="A26" t="str">
        <f>Stammdaten!A28&amp;", "&amp;Stammdaten!B28</f>
        <v>Wolkenberg, Navi</v>
      </c>
      <c r="B26">
        <f>LN_GLN1!C30</f>
        <v>0</v>
      </c>
      <c r="C26">
        <f>'LN_SÜ Krypto'!M29</f>
        <v>12</v>
      </c>
      <c r="D26">
        <f t="shared" si="0"/>
        <v>6</v>
      </c>
      <c r="E26">
        <f t="shared" si="1"/>
        <v>6</v>
      </c>
      <c r="F26">
        <v>1</v>
      </c>
      <c r="G26">
        <v>1</v>
      </c>
    </row>
    <row r="27" spans="1:7" x14ac:dyDescent="0.25">
      <c r="A27" t="str">
        <f>Stammdaten!A29&amp;", "&amp;Stammdaten!B29</f>
        <v>Nordlicht, Navi</v>
      </c>
      <c r="B27">
        <f>LN_GLN1!C31</f>
        <v>0</v>
      </c>
      <c r="C27">
        <f>'LN_SÜ Krypto'!M30</f>
        <v>8</v>
      </c>
      <c r="D27">
        <f t="shared" si="0"/>
        <v>4</v>
      </c>
      <c r="E27">
        <f t="shared" si="1"/>
        <v>4</v>
      </c>
      <c r="F27">
        <v>2</v>
      </c>
      <c r="G27">
        <v>1</v>
      </c>
    </row>
    <row r="28" spans="1:7" x14ac:dyDescent="0.25">
      <c r="A28" t="str">
        <f>Stammdaten!A30&amp;", "&amp;Stammdaten!B30</f>
        <v>Lindenfels, Hedi</v>
      </c>
      <c r="B28">
        <f>LN_GLN1!C32</f>
        <v>0</v>
      </c>
      <c r="C28">
        <f>'LN_SÜ Krypto'!M31</f>
        <v>14</v>
      </c>
      <c r="D28">
        <f t="shared" si="0"/>
        <v>7</v>
      </c>
      <c r="E28">
        <f t="shared" si="1"/>
        <v>7</v>
      </c>
      <c r="F28">
        <v>2</v>
      </c>
      <c r="G28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"/>
  <sheetViews>
    <sheetView workbookViewId="0"/>
  </sheetViews>
  <sheetFormatPr baseColWidth="10" defaultColWidth="9.140625" defaultRowHeight="15" x14ac:dyDescent="0.25"/>
  <sheetData>
    <row r="1" spans="1:2" x14ac:dyDescent="0.25">
      <c r="A1" t="s">
        <v>86</v>
      </c>
      <c r="B1" t="s">
        <v>62</v>
      </c>
    </row>
    <row r="2" spans="1:2" x14ac:dyDescent="0.25">
      <c r="A2">
        <v>0.95</v>
      </c>
      <c r="B2">
        <v>15</v>
      </c>
    </row>
    <row r="3" spans="1:2" x14ac:dyDescent="0.25">
      <c r="A3">
        <v>0.9</v>
      </c>
      <c r="B3">
        <v>14</v>
      </c>
    </row>
    <row r="4" spans="1:2" x14ac:dyDescent="0.25">
      <c r="A4">
        <v>0.85</v>
      </c>
      <c r="B4">
        <v>13</v>
      </c>
    </row>
    <row r="5" spans="1:2" x14ac:dyDescent="0.25">
      <c r="A5">
        <v>0.8</v>
      </c>
      <c r="B5">
        <v>12</v>
      </c>
    </row>
    <row r="6" spans="1:2" x14ac:dyDescent="0.25">
      <c r="A6">
        <v>0.75</v>
      </c>
      <c r="B6">
        <v>11</v>
      </c>
    </row>
    <row r="7" spans="1:2" x14ac:dyDescent="0.25">
      <c r="A7">
        <v>0.7</v>
      </c>
      <c r="B7">
        <v>10</v>
      </c>
    </row>
    <row r="8" spans="1:2" x14ac:dyDescent="0.25">
      <c r="A8">
        <v>0.65</v>
      </c>
      <c r="B8">
        <v>9</v>
      </c>
    </row>
    <row r="9" spans="1:2" x14ac:dyDescent="0.25">
      <c r="A9">
        <v>0.6</v>
      </c>
      <c r="B9">
        <v>8</v>
      </c>
    </row>
    <row r="10" spans="1:2" x14ac:dyDescent="0.25">
      <c r="A10">
        <v>0.55000000000000004</v>
      </c>
      <c r="B10">
        <v>7</v>
      </c>
    </row>
    <row r="11" spans="1:2" x14ac:dyDescent="0.25">
      <c r="A11">
        <v>0.5</v>
      </c>
      <c r="B11">
        <v>6</v>
      </c>
    </row>
    <row r="12" spans="1:2" x14ac:dyDescent="0.25">
      <c r="A12">
        <v>0.45</v>
      </c>
      <c r="B12">
        <v>5</v>
      </c>
    </row>
    <row r="13" spans="1:2" x14ac:dyDescent="0.25">
      <c r="A13">
        <v>0.4</v>
      </c>
      <c r="B13">
        <v>4</v>
      </c>
    </row>
    <row r="14" spans="1:2" x14ac:dyDescent="0.25">
      <c r="A14">
        <v>0.33</v>
      </c>
      <c r="B14">
        <v>3</v>
      </c>
    </row>
    <row r="15" spans="1:2" x14ac:dyDescent="0.25">
      <c r="A15">
        <v>0.27</v>
      </c>
      <c r="B15">
        <v>2</v>
      </c>
    </row>
    <row r="16" spans="1:2" x14ac:dyDescent="0.25">
      <c r="A16">
        <v>0.2</v>
      </c>
      <c r="B16">
        <v>1</v>
      </c>
    </row>
    <row r="17" spans="1:2" x14ac:dyDescent="0.25">
      <c r="A17">
        <v>0</v>
      </c>
      <c r="B1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9"/>
  <sheetViews>
    <sheetView workbookViewId="0"/>
  </sheetViews>
  <sheetFormatPr baseColWidth="10" defaultColWidth="9.140625" defaultRowHeight="15" x14ac:dyDescent="0.25"/>
  <sheetData>
    <row r="1" spans="1:26" ht="30" customHeight="1" x14ac:dyDescent="0.25">
      <c r="A1" s="3" t="s">
        <v>60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3" t="s">
        <v>94</v>
      </c>
      <c r="J1" s="3" t="s">
        <v>95</v>
      </c>
      <c r="K1" s="3" t="s">
        <v>96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3" t="s">
        <v>105</v>
      </c>
      <c r="U1" s="3" t="s">
        <v>106</v>
      </c>
      <c r="V1" s="3" t="s">
        <v>107</v>
      </c>
      <c r="W1" s="3" t="s">
        <v>108</v>
      </c>
      <c r="X1" s="3" t="s">
        <v>109</v>
      </c>
      <c r="Y1" s="3" t="s">
        <v>110</v>
      </c>
      <c r="Z1" s="3" t="s">
        <v>111</v>
      </c>
    </row>
    <row r="2" spans="1:26" x14ac:dyDescent="0.25">
      <c r="A2" t="s">
        <v>112</v>
      </c>
      <c r="B2">
        <v>11</v>
      </c>
      <c r="C2">
        <v>11</v>
      </c>
      <c r="D2">
        <v>11</v>
      </c>
      <c r="E2">
        <v>12</v>
      </c>
      <c r="F2">
        <v>11</v>
      </c>
      <c r="G2">
        <v>11</v>
      </c>
      <c r="H2">
        <v>13</v>
      </c>
      <c r="I2">
        <v>10</v>
      </c>
      <c r="J2">
        <v>9</v>
      </c>
      <c r="K2">
        <v>12</v>
      </c>
      <c r="W2">
        <v>1</v>
      </c>
      <c r="X2">
        <v>1</v>
      </c>
      <c r="Y2">
        <v>2</v>
      </c>
      <c r="Z2">
        <v>2</v>
      </c>
    </row>
    <row r="3" spans="1:26" x14ac:dyDescent="0.25">
      <c r="A3" t="s">
        <v>113</v>
      </c>
      <c r="B3">
        <v>8</v>
      </c>
      <c r="C3">
        <v>8</v>
      </c>
      <c r="D3">
        <v>8</v>
      </c>
      <c r="E3">
        <v>6</v>
      </c>
      <c r="F3">
        <v>11</v>
      </c>
      <c r="G3">
        <v>12</v>
      </c>
      <c r="H3">
        <v>13</v>
      </c>
      <c r="I3">
        <v>11</v>
      </c>
      <c r="J3">
        <v>9</v>
      </c>
      <c r="K3">
        <v>7</v>
      </c>
      <c r="Y3">
        <v>3</v>
      </c>
      <c r="Z3">
        <v>2</v>
      </c>
    </row>
    <row r="4" spans="1:26" x14ac:dyDescent="0.25">
      <c r="A4" t="s">
        <v>114</v>
      </c>
      <c r="B4">
        <v>13</v>
      </c>
      <c r="C4">
        <v>13</v>
      </c>
      <c r="D4">
        <v>13</v>
      </c>
      <c r="E4">
        <v>13</v>
      </c>
      <c r="F4">
        <v>9</v>
      </c>
      <c r="G4">
        <v>8</v>
      </c>
      <c r="H4">
        <v>6</v>
      </c>
      <c r="I4">
        <v>7</v>
      </c>
      <c r="J4">
        <v>8</v>
      </c>
      <c r="K4">
        <v>5</v>
      </c>
      <c r="W4">
        <v>2</v>
      </c>
      <c r="X4">
        <v>2</v>
      </c>
      <c r="Y4">
        <v>2</v>
      </c>
      <c r="Z4">
        <v>3</v>
      </c>
    </row>
    <row r="5" spans="1:26" x14ac:dyDescent="0.25">
      <c r="A5" t="s">
        <v>115</v>
      </c>
      <c r="B5">
        <v>12</v>
      </c>
      <c r="C5">
        <v>10</v>
      </c>
      <c r="D5">
        <v>9</v>
      </c>
      <c r="E5">
        <v>8</v>
      </c>
      <c r="F5">
        <v>10</v>
      </c>
      <c r="G5">
        <v>11</v>
      </c>
      <c r="H5">
        <v>11</v>
      </c>
      <c r="I5">
        <v>11</v>
      </c>
      <c r="J5">
        <v>9</v>
      </c>
      <c r="W5">
        <v>2</v>
      </c>
      <c r="X5">
        <v>2</v>
      </c>
      <c r="Y5">
        <v>1</v>
      </c>
      <c r="Z5">
        <v>1</v>
      </c>
    </row>
    <row r="6" spans="1:26" x14ac:dyDescent="0.25">
      <c r="A6" t="s">
        <v>116</v>
      </c>
      <c r="B6">
        <v>12</v>
      </c>
      <c r="C6">
        <v>11</v>
      </c>
      <c r="D6">
        <v>12</v>
      </c>
      <c r="E6">
        <v>13</v>
      </c>
      <c r="F6">
        <v>13</v>
      </c>
      <c r="G6">
        <v>13</v>
      </c>
      <c r="H6">
        <v>14</v>
      </c>
      <c r="I6">
        <v>13</v>
      </c>
      <c r="J6">
        <v>11</v>
      </c>
      <c r="K6">
        <v>12</v>
      </c>
      <c r="W6">
        <v>1</v>
      </c>
      <c r="X6">
        <v>1</v>
      </c>
      <c r="Y6">
        <v>2</v>
      </c>
      <c r="Z6">
        <v>1</v>
      </c>
    </row>
    <row r="7" spans="1:26" x14ac:dyDescent="0.25">
      <c r="A7" t="s">
        <v>117</v>
      </c>
      <c r="B7">
        <v>11</v>
      </c>
      <c r="C7">
        <v>10</v>
      </c>
      <c r="D7">
        <v>11</v>
      </c>
      <c r="E7">
        <v>10</v>
      </c>
      <c r="F7">
        <v>8</v>
      </c>
      <c r="G7">
        <v>8</v>
      </c>
      <c r="H7">
        <v>7</v>
      </c>
      <c r="I7">
        <v>5</v>
      </c>
      <c r="J7">
        <v>9</v>
      </c>
      <c r="K7">
        <v>9</v>
      </c>
      <c r="W7">
        <v>1</v>
      </c>
      <c r="X7">
        <v>1</v>
      </c>
      <c r="Y7">
        <v>2</v>
      </c>
      <c r="Z7">
        <v>2</v>
      </c>
    </row>
    <row r="8" spans="1:26" x14ac:dyDescent="0.25">
      <c r="A8" t="s">
        <v>118</v>
      </c>
      <c r="B8">
        <v>13</v>
      </c>
      <c r="C8">
        <v>12</v>
      </c>
      <c r="D8">
        <v>11</v>
      </c>
      <c r="E8">
        <v>11</v>
      </c>
      <c r="F8">
        <v>14</v>
      </c>
      <c r="G8">
        <v>12</v>
      </c>
      <c r="H8">
        <v>12</v>
      </c>
      <c r="I8">
        <v>14</v>
      </c>
      <c r="J8">
        <v>11</v>
      </c>
      <c r="K8">
        <v>13</v>
      </c>
      <c r="W8">
        <v>1</v>
      </c>
      <c r="X8">
        <v>1</v>
      </c>
      <c r="Y8">
        <v>1</v>
      </c>
      <c r="Z8">
        <v>1</v>
      </c>
    </row>
    <row r="9" spans="1:26" x14ac:dyDescent="0.25">
      <c r="A9" t="s">
        <v>119</v>
      </c>
      <c r="B9">
        <v>12</v>
      </c>
      <c r="C9">
        <v>11</v>
      </c>
      <c r="D9">
        <v>8</v>
      </c>
      <c r="E9">
        <v>7</v>
      </c>
      <c r="F9">
        <v>11</v>
      </c>
      <c r="G9">
        <v>12</v>
      </c>
      <c r="H9">
        <v>11</v>
      </c>
      <c r="I9">
        <v>11</v>
      </c>
      <c r="J9">
        <v>7</v>
      </c>
      <c r="K9">
        <v>8</v>
      </c>
      <c r="W9">
        <v>2</v>
      </c>
      <c r="X9">
        <v>2</v>
      </c>
      <c r="Y9">
        <v>2</v>
      </c>
      <c r="Z9">
        <v>2</v>
      </c>
    </row>
    <row r="10" spans="1:26" x14ac:dyDescent="0.25">
      <c r="A10" t="s">
        <v>120</v>
      </c>
      <c r="B10">
        <v>12</v>
      </c>
      <c r="C10">
        <v>12</v>
      </c>
      <c r="D10">
        <v>11</v>
      </c>
      <c r="E10">
        <v>10</v>
      </c>
      <c r="F10">
        <v>14</v>
      </c>
      <c r="G10">
        <v>12</v>
      </c>
      <c r="H10">
        <v>10</v>
      </c>
      <c r="I10">
        <v>12</v>
      </c>
      <c r="J10">
        <v>11</v>
      </c>
      <c r="K10">
        <v>8</v>
      </c>
      <c r="W10">
        <v>2</v>
      </c>
      <c r="X10">
        <v>2</v>
      </c>
      <c r="Y10">
        <v>2</v>
      </c>
      <c r="Z10">
        <v>2</v>
      </c>
    </row>
    <row r="11" spans="1:26" x14ac:dyDescent="0.25">
      <c r="A11" t="s">
        <v>121</v>
      </c>
      <c r="B11">
        <v>10</v>
      </c>
      <c r="C11">
        <v>10</v>
      </c>
      <c r="D11">
        <v>9</v>
      </c>
      <c r="E11">
        <v>7</v>
      </c>
      <c r="F11">
        <v>12</v>
      </c>
      <c r="G11">
        <v>9</v>
      </c>
      <c r="H11">
        <v>10</v>
      </c>
      <c r="I11">
        <v>11</v>
      </c>
      <c r="J11">
        <v>7</v>
      </c>
      <c r="K11">
        <v>4</v>
      </c>
      <c r="W11">
        <v>2</v>
      </c>
      <c r="X11">
        <v>2</v>
      </c>
      <c r="Y11">
        <v>3</v>
      </c>
      <c r="Z11">
        <v>2</v>
      </c>
    </row>
    <row r="12" spans="1:26" x14ac:dyDescent="0.25">
      <c r="A12" t="s">
        <v>122</v>
      </c>
      <c r="B12">
        <v>10</v>
      </c>
      <c r="C12">
        <v>10</v>
      </c>
      <c r="D12">
        <v>9</v>
      </c>
      <c r="E12">
        <v>7</v>
      </c>
      <c r="F12">
        <v>11</v>
      </c>
      <c r="G12">
        <v>11</v>
      </c>
      <c r="H12">
        <v>12</v>
      </c>
      <c r="I12">
        <v>12</v>
      </c>
      <c r="J12">
        <v>12</v>
      </c>
      <c r="K12">
        <v>13</v>
      </c>
      <c r="W12">
        <v>2</v>
      </c>
      <c r="X12">
        <v>2</v>
      </c>
      <c r="Y12">
        <v>2</v>
      </c>
      <c r="Z12">
        <v>2</v>
      </c>
    </row>
    <row r="13" spans="1:26" x14ac:dyDescent="0.25">
      <c r="A13" t="s">
        <v>123</v>
      </c>
      <c r="B13">
        <v>12</v>
      </c>
      <c r="C13">
        <v>12</v>
      </c>
      <c r="D13">
        <v>11</v>
      </c>
      <c r="E13">
        <v>10</v>
      </c>
      <c r="F13">
        <v>11</v>
      </c>
      <c r="G13">
        <v>12</v>
      </c>
      <c r="H13">
        <v>14</v>
      </c>
      <c r="I13">
        <v>13</v>
      </c>
      <c r="J13">
        <v>7</v>
      </c>
      <c r="K13">
        <v>11</v>
      </c>
      <c r="W13">
        <v>2</v>
      </c>
      <c r="X13">
        <v>2</v>
      </c>
      <c r="Y13">
        <v>3</v>
      </c>
      <c r="Z13">
        <v>3</v>
      </c>
    </row>
    <row r="14" spans="1:26" x14ac:dyDescent="0.25">
      <c r="A14" t="s">
        <v>124</v>
      </c>
      <c r="B14">
        <v>10</v>
      </c>
      <c r="C14">
        <v>12</v>
      </c>
      <c r="D14">
        <v>10</v>
      </c>
      <c r="E14">
        <v>9</v>
      </c>
      <c r="F14">
        <v>9</v>
      </c>
      <c r="G14">
        <v>10</v>
      </c>
      <c r="H14">
        <v>8</v>
      </c>
      <c r="I14">
        <v>8</v>
      </c>
      <c r="J14">
        <v>12</v>
      </c>
      <c r="K14">
        <v>11</v>
      </c>
      <c r="W14">
        <v>2</v>
      </c>
      <c r="X14">
        <v>2</v>
      </c>
      <c r="Y14">
        <v>2</v>
      </c>
      <c r="Z14">
        <v>2</v>
      </c>
    </row>
    <row r="15" spans="1:26" x14ac:dyDescent="0.25">
      <c r="A15" t="s">
        <v>125</v>
      </c>
      <c r="B15">
        <v>13</v>
      </c>
      <c r="C15">
        <v>12</v>
      </c>
      <c r="D15">
        <v>13</v>
      </c>
      <c r="E15">
        <v>14</v>
      </c>
      <c r="F15">
        <v>12</v>
      </c>
      <c r="G15">
        <v>9</v>
      </c>
      <c r="H15">
        <v>9</v>
      </c>
      <c r="I15">
        <v>7</v>
      </c>
      <c r="J15">
        <v>8</v>
      </c>
      <c r="K15">
        <v>11</v>
      </c>
      <c r="W15">
        <v>2</v>
      </c>
      <c r="X15">
        <v>2</v>
      </c>
      <c r="Y15">
        <v>2</v>
      </c>
      <c r="Z15">
        <v>2</v>
      </c>
    </row>
    <row r="16" spans="1:26" x14ac:dyDescent="0.25">
      <c r="A16" t="s">
        <v>126</v>
      </c>
      <c r="B16">
        <v>12</v>
      </c>
      <c r="C16">
        <v>11</v>
      </c>
      <c r="D16">
        <v>11</v>
      </c>
      <c r="E16">
        <v>11</v>
      </c>
      <c r="F16">
        <v>11</v>
      </c>
      <c r="G16">
        <v>11</v>
      </c>
      <c r="H16">
        <v>6</v>
      </c>
      <c r="I16">
        <v>7</v>
      </c>
      <c r="J16">
        <v>9</v>
      </c>
      <c r="K16">
        <v>8</v>
      </c>
      <c r="W16">
        <v>2</v>
      </c>
      <c r="X16">
        <v>2</v>
      </c>
      <c r="Y16">
        <v>2</v>
      </c>
      <c r="Z16">
        <v>2</v>
      </c>
    </row>
    <row r="17" spans="1:26" x14ac:dyDescent="0.25">
      <c r="A17" t="s">
        <v>127</v>
      </c>
      <c r="B17">
        <v>10</v>
      </c>
      <c r="C17">
        <v>9</v>
      </c>
      <c r="D17">
        <v>10</v>
      </c>
      <c r="E17">
        <v>9</v>
      </c>
      <c r="F17">
        <v>9</v>
      </c>
      <c r="G17">
        <v>9</v>
      </c>
      <c r="J17">
        <v>14</v>
      </c>
      <c r="K17">
        <v>12</v>
      </c>
      <c r="W17">
        <v>1</v>
      </c>
      <c r="X17">
        <v>1</v>
      </c>
      <c r="Y17">
        <v>2</v>
      </c>
      <c r="Z17">
        <v>3</v>
      </c>
    </row>
    <row r="18" spans="1:26" x14ac:dyDescent="0.25">
      <c r="A18" t="s">
        <v>128</v>
      </c>
      <c r="B18">
        <v>9</v>
      </c>
      <c r="C18">
        <v>9</v>
      </c>
      <c r="F18">
        <v>14</v>
      </c>
      <c r="G18">
        <v>14</v>
      </c>
      <c r="H18">
        <v>14</v>
      </c>
      <c r="I18">
        <v>13</v>
      </c>
      <c r="J18">
        <v>13</v>
      </c>
      <c r="K18">
        <v>9</v>
      </c>
      <c r="W18">
        <v>2</v>
      </c>
      <c r="X18">
        <v>2</v>
      </c>
      <c r="Y18">
        <v>2</v>
      </c>
      <c r="Z18">
        <v>2</v>
      </c>
    </row>
    <row r="19" spans="1:26" x14ac:dyDescent="0.25">
      <c r="A19" t="s">
        <v>129</v>
      </c>
      <c r="B19">
        <v>11</v>
      </c>
      <c r="C19">
        <v>12</v>
      </c>
      <c r="D19">
        <v>13</v>
      </c>
      <c r="E19">
        <v>13</v>
      </c>
      <c r="F19">
        <v>10</v>
      </c>
      <c r="G19">
        <v>9</v>
      </c>
      <c r="H19">
        <v>11</v>
      </c>
      <c r="I19">
        <v>9</v>
      </c>
      <c r="J19">
        <v>11</v>
      </c>
      <c r="K19">
        <v>7</v>
      </c>
      <c r="W19">
        <v>1</v>
      </c>
      <c r="X19">
        <v>1</v>
      </c>
      <c r="Y19">
        <v>2</v>
      </c>
      <c r="Z19">
        <v>1</v>
      </c>
    </row>
    <row r="20" spans="1:26" x14ac:dyDescent="0.25">
      <c r="A20" t="s">
        <v>130</v>
      </c>
      <c r="B20">
        <v>9</v>
      </c>
      <c r="C20">
        <v>8</v>
      </c>
      <c r="D20">
        <v>7</v>
      </c>
      <c r="E20">
        <v>6</v>
      </c>
      <c r="F20">
        <v>13</v>
      </c>
      <c r="G20">
        <v>12</v>
      </c>
      <c r="H20">
        <v>11</v>
      </c>
      <c r="I20">
        <v>9</v>
      </c>
      <c r="J20">
        <v>14</v>
      </c>
      <c r="K20">
        <v>15</v>
      </c>
      <c r="W20">
        <v>1</v>
      </c>
      <c r="X20">
        <v>1</v>
      </c>
      <c r="Y20">
        <v>2</v>
      </c>
      <c r="Z20">
        <v>3</v>
      </c>
    </row>
    <row r="21" spans="1:26" x14ac:dyDescent="0.25">
      <c r="A21" t="s">
        <v>131</v>
      </c>
      <c r="B21">
        <v>13</v>
      </c>
      <c r="C21">
        <v>14</v>
      </c>
      <c r="D21">
        <v>14</v>
      </c>
      <c r="E21">
        <v>14</v>
      </c>
      <c r="F21">
        <v>12</v>
      </c>
      <c r="G21">
        <v>13</v>
      </c>
      <c r="H21">
        <v>12</v>
      </c>
      <c r="I21">
        <v>12</v>
      </c>
      <c r="J21">
        <v>8</v>
      </c>
      <c r="K21">
        <v>9</v>
      </c>
      <c r="W21">
        <v>1</v>
      </c>
      <c r="X21">
        <v>1</v>
      </c>
      <c r="Y21">
        <v>2</v>
      </c>
      <c r="Z21">
        <v>2</v>
      </c>
    </row>
    <row r="22" spans="1:26" x14ac:dyDescent="0.25">
      <c r="A22" t="s">
        <v>132</v>
      </c>
      <c r="B22">
        <v>11</v>
      </c>
      <c r="C22">
        <v>11</v>
      </c>
      <c r="D22">
        <v>11</v>
      </c>
      <c r="E22">
        <v>10</v>
      </c>
      <c r="F22">
        <v>13</v>
      </c>
      <c r="G22">
        <v>13</v>
      </c>
      <c r="H22">
        <v>14</v>
      </c>
      <c r="I22">
        <v>14</v>
      </c>
      <c r="J22">
        <v>9</v>
      </c>
      <c r="K22">
        <v>6</v>
      </c>
      <c r="W22">
        <v>2</v>
      </c>
      <c r="X22">
        <v>2</v>
      </c>
      <c r="Y22">
        <v>2</v>
      </c>
      <c r="Z22">
        <v>1</v>
      </c>
    </row>
    <row r="23" spans="1:26" x14ac:dyDescent="0.25">
      <c r="A23" t="s">
        <v>133</v>
      </c>
      <c r="B23">
        <v>9</v>
      </c>
      <c r="C23">
        <v>11</v>
      </c>
      <c r="D23">
        <v>12</v>
      </c>
      <c r="E23">
        <v>12</v>
      </c>
      <c r="F23">
        <v>12</v>
      </c>
      <c r="G23">
        <v>11</v>
      </c>
      <c r="H23">
        <v>10</v>
      </c>
      <c r="I23">
        <v>13</v>
      </c>
      <c r="J23">
        <v>8</v>
      </c>
      <c r="K23">
        <v>7</v>
      </c>
      <c r="W23">
        <v>1</v>
      </c>
      <c r="X23">
        <v>1</v>
      </c>
    </row>
    <row r="24" spans="1:26" x14ac:dyDescent="0.25">
      <c r="A24" t="s">
        <v>134</v>
      </c>
      <c r="B24">
        <v>9</v>
      </c>
      <c r="C24">
        <v>11</v>
      </c>
      <c r="D24">
        <v>12</v>
      </c>
      <c r="E24">
        <v>11</v>
      </c>
      <c r="F24">
        <v>13</v>
      </c>
      <c r="G24">
        <v>11</v>
      </c>
      <c r="H24">
        <v>10</v>
      </c>
      <c r="I24">
        <v>9</v>
      </c>
      <c r="J24">
        <v>11</v>
      </c>
      <c r="K24">
        <v>13</v>
      </c>
      <c r="W24">
        <v>2</v>
      </c>
      <c r="X24">
        <v>2</v>
      </c>
      <c r="Y24">
        <v>2</v>
      </c>
      <c r="Z24">
        <v>3</v>
      </c>
    </row>
    <row r="25" spans="1:26" x14ac:dyDescent="0.25">
      <c r="A25" t="s">
        <v>135</v>
      </c>
      <c r="B25">
        <v>12</v>
      </c>
      <c r="C25">
        <v>13</v>
      </c>
      <c r="D25">
        <v>14</v>
      </c>
      <c r="E25">
        <v>14</v>
      </c>
      <c r="F25">
        <v>11</v>
      </c>
      <c r="G25">
        <v>12</v>
      </c>
      <c r="H25">
        <v>11</v>
      </c>
      <c r="I25">
        <v>9</v>
      </c>
      <c r="J25">
        <v>12</v>
      </c>
      <c r="K25">
        <v>14</v>
      </c>
      <c r="W25">
        <v>1</v>
      </c>
      <c r="X25">
        <v>1</v>
      </c>
      <c r="Y25">
        <v>3</v>
      </c>
      <c r="Z25">
        <v>2</v>
      </c>
    </row>
    <row r="26" spans="1:26" x14ac:dyDescent="0.25">
      <c r="A26" t="s">
        <v>136</v>
      </c>
      <c r="B26">
        <v>11</v>
      </c>
      <c r="C26">
        <v>9</v>
      </c>
      <c r="D26">
        <v>11</v>
      </c>
      <c r="E26">
        <v>10</v>
      </c>
      <c r="F26">
        <v>11</v>
      </c>
      <c r="G26">
        <v>11</v>
      </c>
      <c r="H26">
        <v>10</v>
      </c>
      <c r="I26">
        <v>7</v>
      </c>
      <c r="J26">
        <v>11</v>
      </c>
      <c r="K26">
        <v>8</v>
      </c>
      <c r="W26">
        <v>1</v>
      </c>
      <c r="X26">
        <v>1</v>
      </c>
      <c r="Y26">
        <v>2</v>
      </c>
      <c r="Z26">
        <v>1</v>
      </c>
    </row>
    <row r="27" spans="1:26" x14ac:dyDescent="0.25">
      <c r="A27" t="s">
        <v>137</v>
      </c>
      <c r="B27">
        <v>13</v>
      </c>
      <c r="C27">
        <v>13</v>
      </c>
      <c r="D27">
        <v>13</v>
      </c>
      <c r="E27">
        <v>13</v>
      </c>
      <c r="F27">
        <v>13</v>
      </c>
      <c r="G27">
        <v>10</v>
      </c>
      <c r="H27">
        <v>9</v>
      </c>
      <c r="I27">
        <v>10</v>
      </c>
      <c r="J27">
        <v>15</v>
      </c>
      <c r="K27">
        <v>14</v>
      </c>
      <c r="W27">
        <v>1</v>
      </c>
      <c r="X27">
        <v>1</v>
      </c>
      <c r="Y27">
        <v>1</v>
      </c>
      <c r="Z27">
        <v>1</v>
      </c>
    </row>
    <row r="28" spans="1:26" x14ac:dyDescent="0.25">
      <c r="A28" t="s">
        <v>138</v>
      </c>
      <c r="B28">
        <v>9</v>
      </c>
      <c r="C28">
        <v>12</v>
      </c>
      <c r="D28">
        <v>13</v>
      </c>
      <c r="E28">
        <v>12</v>
      </c>
      <c r="F28">
        <v>12</v>
      </c>
      <c r="G28">
        <v>10</v>
      </c>
      <c r="H28">
        <v>8</v>
      </c>
      <c r="I28">
        <v>8</v>
      </c>
      <c r="J28">
        <v>13</v>
      </c>
      <c r="K28">
        <v>12</v>
      </c>
      <c r="W28">
        <v>2</v>
      </c>
      <c r="X28">
        <v>2</v>
      </c>
      <c r="Y28">
        <v>1</v>
      </c>
      <c r="Z28">
        <v>1</v>
      </c>
    </row>
    <row r="29" spans="1:26" x14ac:dyDescent="0.25">
      <c r="A29" t="s">
        <v>139</v>
      </c>
      <c r="B29">
        <v>10</v>
      </c>
      <c r="C29">
        <v>9</v>
      </c>
      <c r="D29">
        <v>10</v>
      </c>
      <c r="E29">
        <v>9</v>
      </c>
      <c r="F29">
        <v>12</v>
      </c>
      <c r="G29">
        <v>10</v>
      </c>
      <c r="H29">
        <v>11</v>
      </c>
      <c r="I29">
        <v>10</v>
      </c>
      <c r="J29">
        <v>13</v>
      </c>
      <c r="K29">
        <v>12</v>
      </c>
      <c r="W29">
        <v>2</v>
      </c>
      <c r="X29">
        <v>2</v>
      </c>
      <c r="Y29">
        <v>3</v>
      </c>
      <c r="Z29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/>
  </sheetViews>
  <sheetFormatPr baseColWidth="10" defaultColWidth="9.140625" defaultRowHeight="15" x14ac:dyDescent="0.25"/>
  <sheetData>
    <row r="1" spans="1:2" ht="30" customHeight="1" x14ac:dyDescent="0.25">
      <c r="A1" s="3" t="s">
        <v>140</v>
      </c>
      <c r="B1" s="3" t="s">
        <v>141</v>
      </c>
    </row>
    <row r="2" spans="1:2" x14ac:dyDescent="0.25">
      <c r="A2" t="s">
        <v>142</v>
      </c>
      <c r="B2">
        <v>70</v>
      </c>
    </row>
    <row r="3" spans="1:2" x14ac:dyDescent="0.25">
      <c r="A3" t="s">
        <v>143</v>
      </c>
      <c r="B3">
        <v>30</v>
      </c>
    </row>
    <row r="4" spans="1:2" x14ac:dyDescent="0.25">
      <c r="A4" t="s">
        <v>144</v>
      </c>
      <c r="B4">
        <v>1</v>
      </c>
    </row>
    <row r="5" spans="1:2" x14ac:dyDescent="0.25">
      <c r="A5" t="s">
        <v>145</v>
      </c>
      <c r="B5">
        <v>1</v>
      </c>
    </row>
    <row r="6" spans="1:2" x14ac:dyDescent="0.25">
      <c r="A6" t="s">
        <v>146</v>
      </c>
      <c r="B6">
        <v>1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>
        <v>4</v>
      </c>
    </row>
    <row r="10" spans="1:2" x14ac:dyDescent="0.25">
      <c r="A10" t="s">
        <v>152</v>
      </c>
      <c r="B10">
        <v>70</v>
      </c>
    </row>
    <row r="11" spans="1:2" x14ac:dyDescent="0.25">
      <c r="A11" t="s">
        <v>153</v>
      </c>
      <c r="B1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Stammdaten</vt:lpstr>
      <vt:lpstr>LN_GLN1</vt:lpstr>
      <vt:lpstr>LN_KLN Krypto</vt:lpstr>
      <vt:lpstr>LN_KLN KI</vt:lpstr>
      <vt:lpstr>LN_SÜ Krypto</vt:lpstr>
      <vt:lpstr>Noten_HJ1</vt:lpstr>
      <vt:lpstr>Noten_HJ2</vt:lpstr>
      <vt:lpstr>Noten_Jahr</vt:lpstr>
      <vt:lpstr>Notentabelle</vt:lpstr>
      <vt:lpstr>Noten_Zusatz</vt:lpstr>
      <vt:lpstr>Einstellungen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Harz</cp:lastModifiedBy>
  <dcterms:created xsi:type="dcterms:W3CDTF">2026-06-14T18:27:08Z</dcterms:created>
  <dcterms:modified xsi:type="dcterms:W3CDTF">2026-06-14T18:33:09Z</dcterms:modified>
</cp:coreProperties>
</file>
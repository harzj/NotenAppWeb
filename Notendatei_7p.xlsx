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mdaten" sheetId="1" state="visible" r:id="rId1"/>
    <sheet name="LN_Klausur 1" sheetId="2" state="visible" r:id="rId2"/>
    <sheet name="LN_Kurztest 1" sheetId="3" state="visible" r:id="rId3"/>
    <sheet name="LN_Klausur 2" sheetId="4" state="visible" r:id="rId4"/>
    <sheet name="Noten_HJ1" sheetId="5" state="visible" r:id="rId5"/>
    <sheet name="Noten_HJ2" sheetId="6" state="visible" r:id="rId6"/>
    <sheet name="Noten_Jahr" sheetId="7" state="visible" r:id="rId7"/>
    <sheet name="Notentabell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Klasse:</t>
        </is>
      </c>
      <c r="B1" s="2" t="inlineStr">
        <is>
          <t>7p</t>
        </is>
      </c>
    </row>
    <row r="2" ht="30" customHeight="1">
      <c r="A2" s="3" t="inlineStr">
        <is>
          <t>Nachname</t>
        </is>
      </c>
      <c r="B2" s="3" t="inlineStr">
        <is>
          <t>Vorname</t>
        </is>
      </c>
      <c r="C2" s="3" t="inlineStr">
        <is>
          <t>Status</t>
        </is>
      </c>
      <c r="D2" s="3" t="inlineStr">
        <is>
          <t>Austrittsdatum</t>
        </is>
      </c>
    </row>
    <row r="3">
      <c r="A3" t="inlineStr">
        <is>
          <t>Bauer</t>
        </is>
      </c>
      <c r="B3" t="inlineStr">
        <is>
          <t>Anna</t>
        </is>
      </c>
      <c r="C3" t="inlineStr">
        <is>
          <t>Aktiv</t>
        </is>
      </c>
      <c r="D3" t="inlineStr"/>
    </row>
    <row r="4">
      <c r="A4" t="inlineStr">
        <is>
          <t>Fischer</t>
        </is>
      </c>
      <c r="B4" t="inlineStr">
        <is>
          <t>Lukas</t>
        </is>
      </c>
      <c r="C4" t="inlineStr">
        <is>
          <t>Aktiv</t>
        </is>
      </c>
      <c r="D4" t="inlineStr"/>
    </row>
    <row r="5">
      <c r="A5" t="inlineStr">
        <is>
          <t>Hoffmann</t>
        </is>
      </c>
      <c r="B5" t="inlineStr">
        <is>
          <t>Sophie</t>
        </is>
      </c>
      <c r="C5" t="inlineStr">
        <is>
          <t>Aktiv</t>
        </is>
      </c>
      <c r="D5" t="inlineStr"/>
    </row>
    <row r="6">
      <c r="A6" t="inlineStr">
        <is>
          <t>Klein</t>
        </is>
      </c>
      <c r="B6" t="inlineStr">
        <is>
          <t>Maximilian</t>
        </is>
      </c>
      <c r="C6" t="inlineStr">
        <is>
          <t>Aktiv</t>
        </is>
      </c>
      <c r="D6" t="inlineStr"/>
    </row>
    <row r="7">
      <c r="A7" t="inlineStr">
        <is>
          <t>Koch</t>
        </is>
      </c>
      <c r="B7" t="inlineStr">
        <is>
          <t>Emma</t>
        </is>
      </c>
      <c r="C7" t="inlineStr">
        <is>
          <t>Aktiv</t>
        </is>
      </c>
      <c r="D7" t="inlineStr"/>
    </row>
    <row r="8">
      <c r="A8" t="inlineStr">
        <is>
          <t>Lehmann</t>
        </is>
      </c>
      <c r="B8" t="inlineStr">
        <is>
          <t>Jonas</t>
        </is>
      </c>
      <c r="C8" t="inlineStr">
        <is>
          <t>Ausgeschieden</t>
        </is>
      </c>
      <c r="D8" t="inlineStr">
        <is>
          <t>31.01.2026</t>
        </is>
      </c>
    </row>
    <row r="9">
      <c r="A9" t="inlineStr">
        <is>
          <t>Meyer</t>
        </is>
      </c>
      <c r="B9" t="inlineStr">
        <is>
          <t>Lena</t>
        </is>
      </c>
      <c r="C9" t="inlineStr">
        <is>
          <t>Aktiv</t>
        </is>
      </c>
      <c r="D9" t="inlineStr"/>
    </row>
    <row r="10">
      <c r="A10" t="inlineStr">
        <is>
          <t>Müller</t>
        </is>
      </c>
      <c r="B10" t="inlineStr">
        <is>
          <t>Felix</t>
        </is>
      </c>
      <c r="C10" t="inlineStr">
        <is>
          <t>Aktiv</t>
        </is>
      </c>
      <c r="D10" t="inlineStr"/>
    </row>
    <row r="11">
      <c r="A11" t="inlineStr">
        <is>
          <t>Neumann</t>
        </is>
      </c>
      <c r="B11" t="inlineStr">
        <is>
          <t>Clara</t>
        </is>
      </c>
      <c r="C11" t="inlineStr">
        <is>
          <t>Aktiv</t>
        </is>
      </c>
      <c r="D11" t="inlineStr"/>
    </row>
    <row r="12">
      <c r="A12" t="inlineStr">
        <is>
          <t>Peters</t>
        </is>
      </c>
      <c r="B12" t="inlineStr">
        <is>
          <t>Tobias</t>
        </is>
      </c>
      <c r="C12" t="inlineStr">
        <is>
          <t>Aktiv</t>
        </is>
      </c>
      <c r="D12" t="inlineStr"/>
    </row>
    <row r="13">
      <c r="A13" t="inlineStr">
        <is>
          <t>Richter</t>
        </is>
      </c>
      <c r="B13" t="inlineStr">
        <is>
          <t>Laura</t>
        </is>
      </c>
      <c r="C13" t="inlineStr">
        <is>
          <t>Aktiv</t>
        </is>
      </c>
      <c r="D13" t="inlineStr"/>
    </row>
    <row r="14">
      <c r="A14" t="inlineStr">
        <is>
          <t>Schmidt</t>
        </is>
      </c>
      <c r="B14" t="inlineStr">
        <is>
          <t>Noah</t>
        </is>
      </c>
      <c r="C14" t="inlineStr">
        <is>
          <t>Aktiv</t>
        </is>
      </c>
      <c r="D14" t="inlineStr"/>
    </row>
    <row r="15">
      <c r="A15" t="inlineStr">
        <is>
          <t>Schneider</t>
        </is>
      </c>
      <c r="B15" t="inlineStr">
        <is>
          <t>Marie</t>
        </is>
      </c>
      <c r="C15" t="inlineStr">
        <is>
          <t>Aktiv</t>
        </is>
      </c>
      <c r="D15" t="inlineStr"/>
    </row>
    <row r="16">
      <c r="A16" t="inlineStr">
        <is>
          <t>Wagner</t>
        </is>
      </c>
      <c r="B16" t="inlineStr">
        <is>
          <t>Paul</t>
        </is>
      </c>
      <c r="C16" t="inlineStr">
        <is>
          <t>Aktiv</t>
        </is>
      </c>
      <c r="D16" t="inlineStr"/>
    </row>
    <row r="17">
      <c r="A17" t="inlineStr">
        <is>
          <t>Weber</t>
        </is>
      </c>
      <c r="B17" t="inlineStr">
        <is>
          <t>Julia</t>
        </is>
      </c>
      <c r="C17" t="inlineStr">
        <is>
          <t>Aktiv</t>
        </is>
      </c>
      <c r="D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3" customWidth="1" min="9" max="9"/>
    <col width="12" customWidth="1" min="10" max="10"/>
  </cols>
  <sheetData>
    <row r="1">
      <c r="A1" s="4" t="inlineStr">
        <is>
          <t>Schüler</t>
        </is>
      </c>
      <c r="B1" s="4" t="inlineStr">
        <is>
          <t>1a</t>
        </is>
      </c>
      <c r="C1" s="4" t="inlineStr">
        <is>
          <t>1b</t>
        </is>
      </c>
      <c r="D1" s="4" t="inlineStr">
        <is>
          <t>2a</t>
        </is>
      </c>
      <c r="E1" s="4" t="inlineStr">
        <is>
          <t>2b</t>
        </is>
      </c>
      <c r="F1" s="4" t="inlineStr">
        <is>
          <t>2c</t>
        </is>
      </c>
      <c r="G1" s="4" t="inlineStr">
        <is>
          <t>3</t>
        </is>
      </c>
      <c r="H1" s="4" t="inlineStr">
        <is>
          <t>Gesamt</t>
        </is>
      </c>
      <c r="I1" s="4" t="inlineStr">
        <is>
          <t>Note (0-15)</t>
        </is>
      </c>
      <c r="J1" s="4" t="inlineStr">
        <is>
          <t>Note (1-6)</t>
        </is>
      </c>
    </row>
    <row r="2">
      <c r="A2" s="5" t="inlineStr">
        <is>
          <t>Anforderungsbereich</t>
        </is>
      </c>
      <c r="B2" s="5" t="inlineStr">
        <is>
          <t>I</t>
        </is>
      </c>
      <c r="C2" s="5" t="inlineStr">
        <is>
          <t>I</t>
        </is>
      </c>
      <c r="D2" s="5" t="inlineStr">
        <is>
          <t>II</t>
        </is>
      </c>
      <c r="E2" s="5" t="inlineStr">
        <is>
          <t>II</t>
        </is>
      </c>
      <c r="F2" s="5" t="inlineStr">
        <is>
          <t>II</t>
        </is>
      </c>
      <c r="G2" s="5" t="inlineStr">
        <is>
          <t>III</t>
        </is>
      </c>
      <c r="H2" s="5" t="n"/>
      <c r="I2" s="5" t="n"/>
      <c r="J2" s="5" t="n"/>
    </row>
    <row r="3">
      <c r="A3" s="6" t="inlineStr">
        <is>
          <t>Max. Punkte</t>
        </is>
      </c>
      <c r="B3" s="6" t="n">
        <v>4</v>
      </c>
      <c r="C3" s="6" t="n">
        <v>4</v>
      </c>
      <c r="D3" s="6" t="n">
        <v>6</v>
      </c>
      <c r="E3" s="6" t="n">
        <v>4</v>
      </c>
      <c r="F3" s="6" t="n">
        <v>4</v>
      </c>
      <c r="G3" s="6" t="n">
        <v>8</v>
      </c>
      <c r="H3" s="6">
        <f>SUM(B3:G3)</f>
        <v/>
      </c>
      <c r="I3" s="6" t="n"/>
      <c r="J3" s="6" t="n"/>
    </row>
    <row r="4">
      <c r="A4">
        <f>Stammdaten!A3&amp;", "&amp;Stammdaten!B3</f>
        <v/>
      </c>
      <c r="B4" t="n">
        <v>4</v>
      </c>
      <c r="C4" t="n">
        <v>3</v>
      </c>
      <c r="D4" t="n">
        <v>5</v>
      </c>
      <c r="E4" t="n">
        <v>4</v>
      </c>
      <c r="F4" t="n">
        <v>3</v>
      </c>
      <c r="G4" t="n">
        <v>7</v>
      </c>
      <c r="H4">
        <f>SUM(B4:G4)</f>
        <v/>
      </c>
      <c r="I4" s="7">
        <f>IF(H3=0,0,IF((H4/H3)&gt;=0.95,15,IF((H4/H3)&gt;=0.9,14,IF((H4/H3)&gt;=0.85,13,IF((H4/H3)&gt;=0.8,12,IF((H4/H3)&gt;=0.75,11,IF((H4/H3)&gt;=0.7,10,IF((H4/H3)&gt;=0.65,9,IF((H4/H3)&gt;=0.6,8,IF((H4/H3)&gt;=0.55,7,IF((H4/H3)&gt;=0.5,6,IF((H4/H3)&gt;=0.45,5,IF((H4/H3)&gt;=0.4,4,IF((H4/H3)&gt;=0.33,3,IF((H4/H3)&gt;=0.27,2,IF((H4/H3)&gt;=0.2,1,0))))))))))))))))</f>
        <v/>
      </c>
      <c r="J4" s="7">
        <f>IF(I4&gt;=13,1,IF(I4&gt;=10,2,IF(I4&gt;=7,3,IF(I4&gt;=4,4,IF(I4&gt;=1,5,6)))))</f>
        <v/>
      </c>
    </row>
    <row r="5">
      <c r="A5" s="8">
        <f>Stammdaten!A4&amp;", "&amp;Stammdaten!B4</f>
        <v/>
      </c>
      <c r="B5" s="8" t="n">
        <v>3</v>
      </c>
      <c r="C5" s="8" t="n">
        <v>4</v>
      </c>
      <c r="D5" s="8" t="n">
        <v>4</v>
      </c>
      <c r="E5" s="8" t="n">
        <v>3</v>
      </c>
      <c r="F5" s="8" t="n">
        <v>3</v>
      </c>
      <c r="G5" s="8" t="n">
        <v>5</v>
      </c>
      <c r="H5" s="8">
        <f>SUM(B5:G5)</f>
        <v/>
      </c>
      <c r="I5" s="7">
        <f>IF(H3=0,0,IF((H5/H3)&gt;=0.95,15,IF((H5/H3)&gt;=0.9,14,IF((H5/H3)&gt;=0.85,13,IF((H5/H3)&gt;=0.8,12,IF((H5/H3)&gt;=0.75,11,IF((H5/H3)&gt;=0.7,10,IF((H5/H3)&gt;=0.65,9,IF((H5/H3)&gt;=0.6,8,IF((H5/H3)&gt;=0.55,7,IF((H5/H3)&gt;=0.5,6,IF((H5/H3)&gt;=0.45,5,IF((H5/H3)&gt;=0.4,4,IF((H5/H3)&gt;=0.33,3,IF((H5/H3)&gt;=0.27,2,IF((H5/H3)&gt;=0.2,1,0))))))))))))))))</f>
        <v/>
      </c>
      <c r="J5" s="7">
        <f>IF(I5&gt;=13,1,IF(I5&gt;=10,2,IF(I5&gt;=7,3,IF(I5&gt;=4,4,IF(I5&gt;=1,5,6)))))</f>
        <v/>
      </c>
    </row>
    <row r="6">
      <c r="A6">
        <f>Stammdaten!A5&amp;", "&amp;Stammdaten!B5</f>
        <v/>
      </c>
      <c r="B6" t="n">
        <v>4</v>
      </c>
      <c r="C6" t="n">
        <v>4</v>
      </c>
      <c r="D6" t="n">
        <v>6</v>
      </c>
      <c r="E6" t="n">
        <v>4</v>
      </c>
      <c r="F6" t="n">
        <v>4</v>
      </c>
      <c r="G6" t="n">
        <v>8</v>
      </c>
      <c r="H6">
        <f>SUM(B6:G6)</f>
        <v/>
      </c>
      <c r="I6" s="7">
        <f>IF(H3=0,0,IF((H6/H3)&gt;=0.95,15,IF((H6/H3)&gt;=0.9,14,IF((H6/H3)&gt;=0.85,13,IF((H6/H3)&gt;=0.8,12,IF((H6/H3)&gt;=0.75,11,IF((H6/H3)&gt;=0.7,10,IF((H6/H3)&gt;=0.65,9,IF((H6/H3)&gt;=0.6,8,IF((H6/H3)&gt;=0.55,7,IF((H6/H3)&gt;=0.5,6,IF((H6/H3)&gt;=0.45,5,IF((H6/H3)&gt;=0.4,4,IF((H6/H3)&gt;=0.33,3,IF((H6/H3)&gt;=0.27,2,IF((H6/H3)&gt;=0.2,1,0))))))))))))))))</f>
        <v/>
      </c>
      <c r="J6" s="7">
        <f>IF(I6&gt;=13,1,IF(I6&gt;=10,2,IF(I6&gt;=7,3,IF(I6&gt;=4,4,IF(I6&gt;=1,5,6)))))</f>
        <v/>
      </c>
    </row>
    <row r="7">
      <c r="A7" s="8">
        <f>Stammdaten!A6&amp;", "&amp;Stammdaten!B6</f>
        <v/>
      </c>
      <c r="B7" s="8" t="n">
        <v>3</v>
      </c>
      <c r="C7" s="8" t="n">
        <v>3</v>
      </c>
      <c r="D7" s="8" t="n">
        <v>3</v>
      </c>
      <c r="E7" s="8" t="n">
        <v>3</v>
      </c>
      <c r="F7" s="8" t="n">
        <v>2</v>
      </c>
      <c r="G7" s="8" t="n">
        <v>4</v>
      </c>
      <c r="H7" s="8">
        <f>SUM(B7:G7)</f>
        <v/>
      </c>
      <c r="I7" s="7">
        <f>IF(H3=0,0,IF((H7/H3)&gt;=0.95,15,IF((H7/H3)&gt;=0.9,14,IF((H7/H3)&gt;=0.85,13,IF((H7/H3)&gt;=0.8,12,IF((H7/H3)&gt;=0.75,11,IF((H7/H3)&gt;=0.7,10,IF((H7/H3)&gt;=0.65,9,IF((H7/H3)&gt;=0.6,8,IF((H7/H3)&gt;=0.55,7,IF((H7/H3)&gt;=0.5,6,IF((H7/H3)&gt;=0.45,5,IF((H7/H3)&gt;=0.4,4,IF((H7/H3)&gt;=0.33,3,IF((H7/H3)&gt;=0.27,2,IF((H7/H3)&gt;=0.2,1,0))))))))))))))))</f>
        <v/>
      </c>
      <c r="J7" s="7">
        <f>IF(I7&gt;=13,1,IF(I7&gt;=10,2,IF(I7&gt;=7,3,IF(I7&gt;=4,4,IF(I7&gt;=1,5,6)))))</f>
        <v/>
      </c>
    </row>
    <row r="8">
      <c r="A8">
        <f>Stammdaten!A7&amp;", "&amp;Stammdaten!B7</f>
        <v/>
      </c>
      <c r="B8" t="n">
        <v>4</v>
      </c>
      <c r="C8" t="n">
        <v>4</v>
      </c>
      <c r="D8" t="n">
        <v>5</v>
      </c>
      <c r="E8" t="n">
        <v>4</v>
      </c>
      <c r="F8" t="n">
        <v>4</v>
      </c>
      <c r="G8" t="n">
        <v>7</v>
      </c>
      <c r="H8">
        <f>SUM(B8:G8)</f>
        <v/>
      </c>
      <c r="I8" s="7">
        <f>IF(H3=0,0,IF((H8/H3)&gt;=0.95,15,IF((H8/H3)&gt;=0.9,14,IF((H8/H3)&gt;=0.85,13,IF((H8/H3)&gt;=0.8,12,IF((H8/H3)&gt;=0.75,11,IF((H8/H3)&gt;=0.7,10,IF((H8/H3)&gt;=0.65,9,IF((H8/H3)&gt;=0.6,8,IF((H8/H3)&gt;=0.55,7,IF((H8/H3)&gt;=0.5,6,IF((H8/H3)&gt;=0.45,5,IF((H8/H3)&gt;=0.4,4,IF((H8/H3)&gt;=0.33,3,IF((H8/H3)&gt;=0.27,2,IF((H8/H3)&gt;=0.2,1,0))))))))))))))))</f>
        <v/>
      </c>
      <c r="J8" s="7">
        <f>IF(I8&gt;=13,1,IF(I8&gt;=10,2,IF(I8&gt;=7,3,IF(I8&gt;=4,4,IF(I8&gt;=1,5,6)))))</f>
        <v/>
      </c>
    </row>
    <row r="9">
      <c r="A9" s="8">
        <f>Stammdaten!A8&amp;", "&amp;Stammdaten!B8</f>
        <v/>
      </c>
      <c r="B9" s="8" t="n">
        <v>3</v>
      </c>
      <c r="C9" s="8" t="n">
        <v>2</v>
      </c>
      <c r="D9" s="8" t="n">
        <v>3</v>
      </c>
      <c r="E9" s="8" t="n">
        <v>2</v>
      </c>
      <c r="F9" s="8" t="n">
        <v>2</v>
      </c>
      <c r="G9" s="8" t="n">
        <v>4</v>
      </c>
      <c r="H9" s="8">
        <f>SUM(B9:G9)</f>
        <v/>
      </c>
      <c r="I9" s="7">
        <f>IF(H3=0,0,IF((H9/H3)&gt;=0.95,15,IF((H9/H3)&gt;=0.9,14,IF((H9/H3)&gt;=0.85,13,IF((H9/H3)&gt;=0.8,12,IF((H9/H3)&gt;=0.75,11,IF((H9/H3)&gt;=0.7,10,IF((H9/H3)&gt;=0.65,9,IF((H9/H3)&gt;=0.6,8,IF((H9/H3)&gt;=0.55,7,IF((H9/H3)&gt;=0.5,6,IF((H9/H3)&gt;=0.45,5,IF((H9/H3)&gt;=0.4,4,IF((H9/H3)&gt;=0.33,3,IF((H9/H3)&gt;=0.27,2,IF((H9/H3)&gt;=0.2,1,0))))))))))))))))</f>
        <v/>
      </c>
      <c r="J9" s="7">
        <f>IF(I9&gt;=13,1,IF(I9&gt;=10,2,IF(I9&gt;=7,3,IF(I9&gt;=4,4,IF(I9&gt;=1,5,6)))))</f>
        <v/>
      </c>
    </row>
    <row r="10">
      <c r="A10">
        <f>Stammdaten!A9&amp;", "&amp;Stammdaten!B9</f>
        <v/>
      </c>
      <c r="B10" t="n">
        <v>4</v>
      </c>
      <c r="C10" t="n">
        <v>3</v>
      </c>
      <c r="D10" t="n">
        <v>4</v>
      </c>
      <c r="E10" t="n">
        <v>3</v>
      </c>
      <c r="F10" t="n">
        <v>4</v>
      </c>
      <c r="G10" t="n">
        <v>6</v>
      </c>
      <c r="H10">
        <f>SUM(B10:G10)</f>
        <v/>
      </c>
      <c r="I10" s="7">
        <f>IF(H3=0,0,IF((H10/H3)&gt;=0.95,15,IF((H10/H3)&gt;=0.9,14,IF((H10/H3)&gt;=0.85,13,IF((H10/H3)&gt;=0.8,12,IF((H10/H3)&gt;=0.75,11,IF((H10/H3)&gt;=0.7,10,IF((H10/H3)&gt;=0.65,9,IF((H10/H3)&gt;=0.6,8,IF((H10/H3)&gt;=0.55,7,IF((H10/H3)&gt;=0.5,6,IF((H10/H3)&gt;=0.45,5,IF((H10/H3)&gt;=0.4,4,IF((H10/H3)&gt;=0.33,3,IF((H10/H3)&gt;=0.27,2,IF((H10/H3)&gt;=0.2,1,0))))))))))))))))</f>
        <v/>
      </c>
      <c r="J10" s="7">
        <f>IF(I10&gt;=13,1,IF(I10&gt;=10,2,IF(I10&gt;=7,3,IF(I10&gt;=4,4,IF(I10&gt;=1,5,6)))))</f>
        <v/>
      </c>
    </row>
    <row r="11">
      <c r="A11" s="8">
        <f>Stammdaten!A10&amp;", "&amp;Stammdaten!B10</f>
        <v/>
      </c>
      <c r="B11" s="8" t="n">
        <v>2</v>
      </c>
      <c r="C11" s="8" t="n">
        <v>3</v>
      </c>
      <c r="D11" s="8" t="n">
        <v>3</v>
      </c>
      <c r="E11" s="8" t="n">
        <v>2</v>
      </c>
      <c r="F11" s="8" t="n">
        <v>2</v>
      </c>
      <c r="G11" s="8" t="n">
        <v>3</v>
      </c>
      <c r="H11" s="8">
        <f>SUM(B11:G11)</f>
        <v/>
      </c>
      <c r="I11" s="7">
        <f>IF(H3=0,0,IF((H11/H3)&gt;=0.95,15,IF((H11/H3)&gt;=0.9,14,IF((H11/H3)&gt;=0.85,13,IF((H11/H3)&gt;=0.8,12,IF((H11/H3)&gt;=0.75,11,IF((H11/H3)&gt;=0.7,10,IF((H11/H3)&gt;=0.65,9,IF((H11/H3)&gt;=0.6,8,IF((H11/H3)&gt;=0.55,7,IF((H11/H3)&gt;=0.5,6,IF((H11/H3)&gt;=0.45,5,IF((H11/H3)&gt;=0.4,4,IF((H11/H3)&gt;=0.33,3,IF((H11/H3)&gt;=0.27,2,IF((H11/H3)&gt;=0.2,1,0))))))))))))))))</f>
        <v/>
      </c>
      <c r="J11" s="7">
        <f>IF(I11&gt;=13,1,IF(I11&gt;=10,2,IF(I11&gt;=7,3,IF(I11&gt;=4,4,IF(I11&gt;=1,5,6)))))</f>
        <v/>
      </c>
    </row>
    <row r="12">
      <c r="A12">
        <f>Stammdaten!A11&amp;", "&amp;Stammdaten!B11</f>
        <v/>
      </c>
      <c r="B12" t="n">
        <v>4</v>
      </c>
      <c r="C12" t="n">
        <v>4</v>
      </c>
      <c r="D12" t="n">
        <v>5</v>
      </c>
      <c r="E12" t="n">
        <v>3</v>
      </c>
      <c r="F12" t="n">
        <v>3</v>
      </c>
      <c r="G12" t="n">
        <v>7</v>
      </c>
      <c r="H12">
        <f>SUM(B12:G12)</f>
        <v/>
      </c>
      <c r="I12" s="7">
        <f>IF(H3=0,0,IF((H12/H3)&gt;=0.95,15,IF((H12/H3)&gt;=0.9,14,IF((H12/H3)&gt;=0.85,13,IF((H12/H3)&gt;=0.8,12,IF((H12/H3)&gt;=0.75,11,IF((H12/H3)&gt;=0.7,10,IF((H12/H3)&gt;=0.65,9,IF((H12/H3)&gt;=0.6,8,IF((H12/H3)&gt;=0.55,7,IF((H12/H3)&gt;=0.5,6,IF((H12/H3)&gt;=0.45,5,IF((H12/H3)&gt;=0.4,4,IF((H12/H3)&gt;=0.33,3,IF((H12/H3)&gt;=0.27,2,IF((H12/H3)&gt;=0.2,1,0))))))))))))))))</f>
        <v/>
      </c>
      <c r="J12" s="7">
        <f>IF(I12&gt;=13,1,IF(I12&gt;=10,2,IF(I12&gt;=7,3,IF(I12&gt;=4,4,IF(I12&gt;=1,5,6)))))</f>
        <v/>
      </c>
    </row>
    <row r="13">
      <c r="A13" s="8">
        <f>Stammdaten!A12&amp;", "&amp;Stammdaten!B12</f>
        <v/>
      </c>
      <c r="B13" s="8" t="n">
        <v>3</v>
      </c>
      <c r="C13" s="8" t="n">
        <v>3</v>
      </c>
      <c r="D13" s="8" t="n">
        <v>4</v>
      </c>
      <c r="E13" s="8" t="n">
        <v>3</v>
      </c>
      <c r="F13" s="8" t="n">
        <v>3</v>
      </c>
      <c r="G13" s="8" t="n">
        <v>5</v>
      </c>
      <c r="H13" s="8">
        <f>SUM(B13:G13)</f>
        <v/>
      </c>
      <c r="I13" s="7">
        <f>IF(H3=0,0,IF((H13/H3)&gt;=0.95,15,IF((H13/H3)&gt;=0.9,14,IF((H13/H3)&gt;=0.85,13,IF((H13/H3)&gt;=0.8,12,IF((H13/H3)&gt;=0.75,11,IF((H13/H3)&gt;=0.7,10,IF((H13/H3)&gt;=0.65,9,IF((H13/H3)&gt;=0.6,8,IF((H13/H3)&gt;=0.55,7,IF((H13/H3)&gt;=0.5,6,IF((H13/H3)&gt;=0.45,5,IF((H13/H3)&gt;=0.4,4,IF((H13/H3)&gt;=0.33,3,IF((H13/H3)&gt;=0.27,2,IF((H13/H3)&gt;=0.2,1,0))))))))))))))))</f>
        <v/>
      </c>
      <c r="J13" s="7">
        <f>IF(I13&gt;=13,1,IF(I13&gt;=10,2,IF(I13&gt;=7,3,IF(I13&gt;=4,4,IF(I13&gt;=1,5,6)))))</f>
        <v/>
      </c>
    </row>
    <row r="14">
      <c r="A14">
        <f>Stammdaten!A13&amp;", "&amp;Stammdaten!B13</f>
        <v/>
      </c>
      <c r="B14" t="n">
        <v>4</v>
      </c>
      <c r="C14" t="n">
        <v>4</v>
      </c>
      <c r="D14" t="n">
        <v>6</v>
      </c>
      <c r="E14" t="n">
        <v>4</v>
      </c>
      <c r="F14" t="n">
        <v>3</v>
      </c>
      <c r="G14" t="n">
        <v>7</v>
      </c>
      <c r="H14">
        <f>SUM(B14:G14)</f>
        <v/>
      </c>
      <c r="I14" s="7">
        <f>IF(H3=0,0,IF((H14/H3)&gt;=0.95,15,IF((H14/H3)&gt;=0.9,14,IF((H14/H3)&gt;=0.85,13,IF((H14/H3)&gt;=0.8,12,IF((H14/H3)&gt;=0.75,11,IF((H14/H3)&gt;=0.7,10,IF((H14/H3)&gt;=0.65,9,IF((H14/H3)&gt;=0.6,8,IF((H14/H3)&gt;=0.55,7,IF((H14/H3)&gt;=0.5,6,IF((H14/H3)&gt;=0.45,5,IF((H14/H3)&gt;=0.4,4,IF((H14/H3)&gt;=0.33,3,IF((H14/H3)&gt;=0.27,2,IF((H14/H3)&gt;=0.2,1,0))))))))))))))))</f>
        <v/>
      </c>
      <c r="J14" s="7">
        <f>IF(I14&gt;=13,1,IF(I14&gt;=10,2,IF(I14&gt;=7,3,IF(I14&gt;=4,4,IF(I14&gt;=1,5,6)))))</f>
        <v/>
      </c>
    </row>
    <row r="15">
      <c r="A15" s="8">
        <f>Stammdaten!A14&amp;", "&amp;Stammdaten!B14</f>
        <v/>
      </c>
      <c r="B15" s="8" t="n">
        <v>2</v>
      </c>
      <c r="C15" s="8" t="n">
        <v>2</v>
      </c>
      <c r="D15" s="8" t="n">
        <v>2</v>
      </c>
      <c r="E15" s="8" t="n">
        <v>2</v>
      </c>
      <c r="F15" s="8" t="n">
        <v>1</v>
      </c>
      <c r="G15" s="8" t="n">
        <v>3</v>
      </c>
      <c r="H15" s="8">
        <f>SUM(B15:G15)</f>
        <v/>
      </c>
      <c r="I15" s="7">
        <f>IF(H3=0,0,IF((H15/H3)&gt;=0.95,15,IF((H15/H3)&gt;=0.9,14,IF((H15/H3)&gt;=0.85,13,IF((H15/H3)&gt;=0.8,12,IF((H15/H3)&gt;=0.75,11,IF((H15/H3)&gt;=0.7,10,IF((H15/H3)&gt;=0.65,9,IF((H15/H3)&gt;=0.6,8,IF((H15/H3)&gt;=0.55,7,IF((H15/H3)&gt;=0.5,6,IF((H15/H3)&gt;=0.45,5,IF((H15/H3)&gt;=0.4,4,IF((H15/H3)&gt;=0.33,3,IF((H15/H3)&gt;=0.27,2,IF((H15/H3)&gt;=0.2,1,0))))))))))))))))</f>
        <v/>
      </c>
      <c r="J15" s="7">
        <f>IF(I15&gt;=13,1,IF(I15&gt;=10,2,IF(I15&gt;=7,3,IF(I15&gt;=4,4,IF(I15&gt;=1,5,6)))))</f>
        <v/>
      </c>
    </row>
    <row r="16">
      <c r="A16">
        <f>Stammdaten!A15&amp;", "&amp;Stammdaten!B15</f>
        <v/>
      </c>
      <c r="B16" t="n">
        <v>3</v>
      </c>
      <c r="C16" t="n">
        <v>4</v>
      </c>
      <c r="D16" t="n">
        <v>4</v>
      </c>
      <c r="E16" t="n">
        <v>4</v>
      </c>
      <c r="F16" t="n">
        <v>3</v>
      </c>
      <c r="G16" t="n">
        <v>6</v>
      </c>
      <c r="H16">
        <f>SUM(B16:G16)</f>
        <v/>
      </c>
      <c r="I16" s="7">
        <f>IF(H3=0,0,IF((H16/H3)&gt;=0.95,15,IF((H16/H3)&gt;=0.9,14,IF((H16/H3)&gt;=0.85,13,IF((H16/H3)&gt;=0.8,12,IF((H16/H3)&gt;=0.75,11,IF((H16/H3)&gt;=0.7,10,IF((H16/H3)&gt;=0.65,9,IF((H16/H3)&gt;=0.6,8,IF((H16/H3)&gt;=0.55,7,IF((H16/H3)&gt;=0.5,6,IF((H16/H3)&gt;=0.45,5,IF((H16/H3)&gt;=0.4,4,IF((H16/H3)&gt;=0.33,3,IF((H16/H3)&gt;=0.27,2,IF((H16/H3)&gt;=0.2,1,0))))))))))))))))</f>
        <v/>
      </c>
      <c r="J16" s="7">
        <f>IF(I16&gt;=13,1,IF(I16&gt;=10,2,IF(I16&gt;=7,3,IF(I16&gt;=4,4,IF(I16&gt;=1,5,6)))))</f>
        <v/>
      </c>
    </row>
    <row r="17">
      <c r="A17" s="8">
        <f>Stammdaten!A16&amp;", "&amp;Stammdaten!B16</f>
        <v/>
      </c>
      <c r="B17" s="8" t="n">
        <v>1</v>
      </c>
      <c r="C17" s="8" t="n">
        <v>2</v>
      </c>
      <c r="D17" s="8" t="n">
        <v>2</v>
      </c>
      <c r="E17" s="8" t="n">
        <v>1</v>
      </c>
      <c r="F17" s="8" t="n">
        <v>1</v>
      </c>
      <c r="G17" s="8" t="n">
        <v>2</v>
      </c>
      <c r="H17" s="8">
        <f>SUM(B17:G17)</f>
        <v/>
      </c>
      <c r="I17" s="7">
        <f>IF(H3=0,0,IF((H17/H3)&gt;=0.95,15,IF((H17/H3)&gt;=0.9,14,IF((H17/H3)&gt;=0.85,13,IF((H17/H3)&gt;=0.8,12,IF((H17/H3)&gt;=0.75,11,IF((H17/H3)&gt;=0.7,10,IF((H17/H3)&gt;=0.65,9,IF((H17/H3)&gt;=0.6,8,IF((H17/H3)&gt;=0.55,7,IF((H17/H3)&gt;=0.5,6,IF((H17/H3)&gt;=0.45,5,IF((H17/H3)&gt;=0.4,4,IF((H17/H3)&gt;=0.33,3,IF((H17/H3)&gt;=0.27,2,IF((H17/H3)&gt;=0.2,1,0))))))))))))))))</f>
        <v/>
      </c>
      <c r="J17" s="7">
        <f>IF(I17&gt;=13,1,IF(I17&gt;=10,2,IF(I17&gt;=7,3,IF(I17&gt;=4,4,IF(I17&gt;=1,5,6)))))</f>
        <v/>
      </c>
    </row>
    <row r="18">
      <c r="A18">
        <f>Stammdaten!A17&amp;", "&amp;Stammdaten!B17</f>
        <v/>
      </c>
      <c r="B18" t="n">
        <v>3</v>
      </c>
      <c r="C18" t="n">
        <v>3</v>
      </c>
      <c r="D18" t="n">
        <v>5</v>
      </c>
      <c r="E18" t="n">
        <v>3</v>
      </c>
      <c r="F18" t="n">
        <v>3</v>
      </c>
      <c r="G18" t="n">
        <v>6</v>
      </c>
      <c r="H18">
        <f>SUM(B18:G18)</f>
        <v/>
      </c>
      <c r="I18" s="7">
        <f>IF(H3=0,0,IF((H18/H3)&gt;=0.95,15,IF((H18/H3)&gt;=0.9,14,IF((H18/H3)&gt;=0.85,13,IF((H18/H3)&gt;=0.8,12,IF((H18/H3)&gt;=0.75,11,IF((H18/H3)&gt;=0.7,10,IF((H18/H3)&gt;=0.65,9,IF((H18/H3)&gt;=0.6,8,IF((H18/H3)&gt;=0.55,7,IF((H18/H3)&gt;=0.5,6,IF((H18/H3)&gt;=0.45,5,IF((H18/H3)&gt;=0.4,4,IF((H18/H3)&gt;=0.33,3,IF((H18/H3)&gt;=0.27,2,IF((H18/H3)&gt;=0.2,1,0))))))))))))))))</f>
        <v/>
      </c>
      <c r="J18" s="7">
        <f>IF(I18&gt;=13,1,IF(I18&gt;=10,2,IF(I18&gt;=7,3,IF(I18&gt;=4,4,IF(I18&gt;=1,5,6)))))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13" customWidth="1" min="6" max="6"/>
    <col width="12" customWidth="1" min="7" max="7"/>
  </cols>
  <sheetData>
    <row r="1">
      <c r="A1" s="4" t="inlineStr">
        <is>
          <t>Schüler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Gesamt</t>
        </is>
      </c>
      <c r="F1" s="4" t="inlineStr">
        <is>
          <t>Note (0-15)</t>
        </is>
      </c>
      <c r="G1" s="4" t="inlineStr">
        <is>
          <t>Note (1-6)</t>
        </is>
      </c>
    </row>
    <row r="2">
      <c r="A2" s="5" t="inlineStr">
        <is>
          <t>Anforderungsbereich</t>
        </is>
      </c>
      <c r="B2" s="5" t="inlineStr">
        <is>
          <t>I</t>
        </is>
      </c>
      <c r="C2" s="5" t="inlineStr">
        <is>
          <t>II</t>
        </is>
      </c>
      <c r="D2" s="5" t="inlineStr">
        <is>
          <t>III</t>
        </is>
      </c>
      <c r="E2" s="5" t="n"/>
      <c r="F2" s="5" t="n"/>
      <c r="G2" s="5" t="n"/>
    </row>
    <row r="3">
      <c r="A3" s="6" t="inlineStr">
        <is>
          <t>Max. Punkte</t>
        </is>
      </c>
      <c r="B3" s="6" t="n">
        <v>6</v>
      </c>
      <c r="C3" s="6" t="n">
        <v>8</v>
      </c>
      <c r="D3" s="6" t="n">
        <v>6</v>
      </c>
      <c r="E3" s="6">
        <f>SUM(B3:D3)</f>
        <v/>
      </c>
      <c r="F3" s="6" t="n"/>
      <c r="G3" s="6" t="n"/>
    </row>
    <row r="4">
      <c r="A4">
        <f>Stammdaten!A3&amp;", "&amp;Stammdaten!B3</f>
        <v/>
      </c>
      <c r="B4" t="n">
        <v>6</v>
      </c>
      <c r="C4" t="n">
        <v>7</v>
      </c>
      <c r="D4" t="n">
        <v>5</v>
      </c>
      <c r="E4">
        <f>SUM(B4:D4)</f>
        <v/>
      </c>
      <c r="F4" s="7">
        <f>IF(E3=0,0,IF((E4/E3)&gt;=0.95,15,IF((E4/E3)&gt;=0.9,14,IF((E4/E3)&gt;=0.85,13,IF((E4/E3)&gt;=0.8,12,IF((E4/E3)&gt;=0.75,11,IF((E4/E3)&gt;=0.7,10,IF((E4/E3)&gt;=0.65,9,IF((E4/E3)&gt;=0.6,8,IF((E4/E3)&gt;=0.55,7,IF((E4/E3)&gt;=0.5,6,IF((E4/E3)&gt;=0.45,5,IF((E4/E3)&gt;=0.4,4,IF((E4/E3)&gt;=0.33,3,IF((E4/E3)&gt;=0.27,2,IF((E4/E3)&gt;=0.2,1,0))))))))))))))))</f>
        <v/>
      </c>
      <c r="G4" s="7">
        <f>IF(F4&gt;=13,1,IF(F4&gt;=10,2,IF(F4&gt;=7,3,IF(F4&gt;=4,4,IF(F4&gt;=1,5,6)))))</f>
        <v/>
      </c>
    </row>
    <row r="5">
      <c r="A5" s="8">
        <f>Stammdaten!A4&amp;", "&amp;Stammdaten!B4</f>
        <v/>
      </c>
      <c r="B5" s="8" t="n">
        <v>5</v>
      </c>
      <c r="C5" s="8" t="n">
        <v>5</v>
      </c>
      <c r="D5" s="8" t="n">
        <v>3</v>
      </c>
      <c r="E5" s="8">
        <f>SUM(B5:D5)</f>
        <v/>
      </c>
      <c r="F5" s="7">
        <f>IF(E3=0,0,IF((E5/E3)&gt;=0.95,15,IF((E5/E3)&gt;=0.9,14,IF((E5/E3)&gt;=0.85,13,IF((E5/E3)&gt;=0.8,12,IF((E5/E3)&gt;=0.75,11,IF((E5/E3)&gt;=0.7,10,IF((E5/E3)&gt;=0.65,9,IF((E5/E3)&gt;=0.6,8,IF((E5/E3)&gt;=0.55,7,IF((E5/E3)&gt;=0.5,6,IF((E5/E3)&gt;=0.45,5,IF((E5/E3)&gt;=0.4,4,IF((E5/E3)&gt;=0.33,3,IF((E5/E3)&gt;=0.27,2,IF((E5/E3)&gt;=0.2,1,0))))))))))))))))</f>
        <v/>
      </c>
      <c r="G5" s="7">
        <f>IF(F5&gt;=13,1,IF(F5&gt;=10,2,IF(F5&gt;=7,3,IF(F5&gt;=4,4,IF(F5&gt;=1,5,6)))))</f>
        <v/>
      </c>
    </row>
    <row r="6">
      <c r="A6">
        <f>Stammdaten!A5&amp;", "&amp;Stammdaten!B5</f>
        <v/>
      </c>
      <c r="B6" t="n">
        <v>6</v>
      </c>
      <c r="C6" t="n">
        <v>8</v>
      </c>
      <c r="D6" t="n">
        <v>6</v>
      </c>
      <c r="E6">
        <f>SUM(B6:D6)</f>
        <v/>
      </c>
      <c r="F6" s="7">
        <f>IF(E3=0,0,IF((E6/E3)&gt;=0.95,15,IF((E6/E3)&gt;=0.9,14,IF((E6/E3)&gt;=0.85,13,IF((E6/E3)&gt;=0.8,12,IF((E6/E3)&gt;=0.75,11,IF((E6/E3)&gt;=0.7,10,IF((E6/E3)&gt;=0.65,9,IF((E6/E3)&gt;=0.6,8,IF((E6/E3)&gt;=0.55,7,IF((E6/E3)&gt;=0.5,6,IF((E6/E3)&gt;=0.45,5,IF((E6/E3)&gt;=0.4,4,IF((E6/E3)&gt;=0.33,3,IF((E6/E3)&gt;=0.27,2,IF((E6/E3)&gt;=0.2,1,0))))))))))))))))</f>
        <v/>
      </c>
      <c r="G6" s="7">
        <f>IF(F6&gt;=13,1,IF(F6&gt;=10,2,IF(F6&gt;=7,3,IF(F6&gt;=4,4,IF(F6&gt;=1,5,6)))))</f>
        <v/>
      </c>
    </row>
    <row r="7">
      <c r="A7" s="8">
        <f>Stammdaten!A6&amp;", "&amp;Stammdaten!B6</f>
        <v/>
      </c>
      <c r="B7" s="8" t="n">
        <v>4</v>
      </c>
      <c r="C7" s="8" t="n">
        <v>4</v>
      </c>
      <c r="D7" s="8" t="n">
        <v>2</v>
      </c>
      <c r="E7" s="8">
        <f>SUM(B7:D7)</f>
        <v/>
      </c>
      <c r="F7" s="7">
        <f>IF(E3=0,0,IF((E7/E3)&gt;=0.95,15,IF((E7/E3)&gt;=0.9,14,IF((E7/E3)&gt;=0.85,13,IF((E7/E3)&gt;=0.8,12,IF((E7/E3)&gt;=0.75,11,IF((E7/E3)&gt;=0.7,10,IF((E7/E3)&gt;=0.65,9,IF((E7/E3)&gt;=0.6,8,IF((E7/E3)&gt;=0.55,7,IF((E7/E3)&gt;=0.5,6,IF((E7/E3)&gt;=0.45,5,IF((E7/E3)&gt;=0.4,4,IF((E7/E3)&gt;=0.33,3,IF((E7/E3)&gt;=0.27,2,IF((E7/E3)&gt;=0.2,1,0))))))))))))))))</f>
        <v/>
      </c>
      <c r="G7" s="7">
        <f>IF(F7&gt;=13,1,IF(F7&gt;=10,2,IF(F7&gt;=7,3,IF(F7&gt;=4,4,IF(F7&gt;=1,5,6)))))</f>
        <v/>
      </c>
    </row>
    <row r="8">
      <c r="A8">
        <f>Stammdaten!A7&amp;", "&amp;Stammdaten!B7</f>
        <v/>
      </c>
      <c r="B8" t="n">
        <v>5</v>
      </c>
      <c r="C8" t="n">
        <v>7</v>
      </c>
      <c r="D8" t="n">
        <v>5</v>
      </c>
      <c r="E8">
        <f>SUM(B8:D8)</f>
        <v/>
      </c>
      <c r="F8" s="7">
        <f>IF(E3=0,0,IF((E8/E3)&gt;=0.95,15,IF((E8/E3)&gt;=0.9,14,IF((E8/E3)&gt;=0.85,13,IF((E8/E3)&gt;=0.8,12,IF((E8/E3)&gt;=0.75,11,IF((E8/E3)&gt;=0.7,10,IF((E8/E3)&gt;=0.65,9,IF((E8/E3)&gt;=0.6,8,IF((E8/E3)&gt;=0.55,7,IF((E8/E3)&gt;=0.5,6,IF((E8/E3)&gt;=0.45,5,IF((E8/E3)&gt;=0.4,4,IF((E8/E3)&gt;=0.33,3,IF((E8/E3)&gt;=0.27,2,IF((E8/E3)&gt;=0.2,1,0))))))))))))))))</f>
        <v/>
      </c>
      <c r="G8" s="7">
        <f>IF(F8&gt;=13,1,IF(F8&gt;=10,2,IF(F8&gt;=7,3,IF(F8&gt;=4,4,IF(F8&gt;=1,5,6)))))</f>
        <v/>
      </c>
    </row>
    <row r="9">
      <c r="A9" s="8">
        <f>Stammdaten!A8&amp;", "&amp;Stammdaten!B8</f>
        <v/>
      </c>
      <c r="B9" s="8" t="n">
        <v>4</v>
      </c>
      <c r="C9" s="8" t="n">
        <v>4</v>
      </c>
      <c r="D9" s="8" t="n">
        <v>3</v>
      </c>
      <c r="E9" s="8">
        <f>SUM(B9:D9)</f>
        <v/>
      </c>
      <c r="F9" s="7">
        <f>IF(E3=0,0,IF((E9/E3)&gt;=0.95,15,IF((E9/E3)&gt;=0.9,14,IF((E9/E3)&gt;=0.85,13,IF((E9/E3)&gt;=0.8,12,IF((E9/E3)&gt;=0.75,11,IF((E9/E3)&gt;=0.7,10,IF((E9/E3)&gt;=0.65,9,IF((E9/E3)&gt;=0.6,8,IF((E9/E3)&gt;=0.55,7,IF((E9/E3)&gt;=0.5,6,IF((E9/E3)&gt;=0.45,5,IF((E9/E3)&gt;=0.4,4,IF((E9/E3)&gt;=0.33,3,IF((E9/E3)&gt;=0.27,2,IF((E9/E3)&gt;=0.2,1,0))))))))))))))))</f>
        <v/>
      </c>
      <c r="G9" s="7">
        <f>IF(F9&gt;=13,1,IF(F9&gt;=10,2,IF(F9&gt;=7,3,IF(F9&gt;=4,4,IF(F9&gt;=1,5,6)))))</f>
        <v/>
      </c>
    </row>
    <row r="10">
      <c r="A10">
        <f>Stammdaten!A9&amp;", "&amp;Stammdaten!B9</f>
        <v/>
      </c>
      <c r="B10" t="n">
        <v>5</v>
      </c>
      <c r="C10" t="n">
        <v>6</v>
      </c>
      <c r="D10" t="n">
        <v>4</v>
      </c>
      <c r="E10">
        <f>SUM(B10:D10)</f>
        <v/>
      </c>
      <c r="F10" s="7">
        <f>IF(E3=0,0,IF((E10/E3)&gt;=0.95,15,IF((E10/E3)&gt;=0.9,14,IF((E10/E3)&gt;=0.85,13,IF((E10/E3)&gt;=0.8,12,IF((E10/E3)&gt;=0.75,11,IF((E10/E3)&gt;=0.7,10,IF((E10/E3)&gt;=0.65,9,IF((E10/E3)&gt;=0.6,8,IF((E10/E3)&gt;=0.55,7,IF((E10/E3)&gt;=0.5,6,IF((E10/E3)&gt;=0.45,5,IF((E10/E3)&gt;=0.4,4,IF((E10/E3)&gt;=0.33,3,IF((E10/E3)&gt;=0.27,2,IF((E10/E3)&gt;=0.2,1,0))))))))))))))))</f>
        <v/>
      </c>
      <c r="G10" s="7">
        <f>IF(F10&gt;=13,1,IF(F10&gt;=10,2,IF(F10&gt;=7,3,IF(F10&gt;=4,4,IF(F10&gt;=1,5,6)))))</f>
        <v/>
      </c>
    </row>
    <row r="11">
      <c r="A11" s="8">
        <f>Stammdaten!A10&amp;", "&amp;Stammdaten!B10</f>
        <v/>
      </c>
      <c r="B11" s="8" t="n">
        <v>3</v>
      </c>
      <c r="C11" s="8" t="n">
        <v>4</v>
      </c>
      <c r="D11" s="8" t="n">
        <v>2</v>
      </c>
      <c r="E11" s="8">
        <f>SUM(B11:D11)</f>
        <v/>
      </c>
      <c r="F11" s="7">
        <f>IF(E3=0,0,IF((E11/E3)&gt;=0.95,15,IF((E11/E3)&gt;=0.9,14,IF((E11/E3)&gt;=0.85,13,IF((E11/E3)&gt;=0.8,12,IF((E11/E3)&gt;=0.75,11,IF((E11/E3)&gt;=0.7,10,IF((E11/E3)&gt;=0.65,9,IF((E11/E3)&gt;=0.6,8,IF((E11/E3)&gt;=0.55,7,IF((E11/E3)&gt;=0.5,6,IF((E11/E3)&gt;=0.45,5,IF((E11/E3)&gt;=0.4,4,IF((E11/E3)&gt;=0.33,3,IF((E11/E3)&gt;=0.27,2,IF((E11/E3)&gt;=0.2,1,0))))))))))))))))</f>
        <v/>
      </c>
      <c r="G11" s="7">
        <f>IF(F11&gt;=13,1,IF(F11&gt;=10,2,IF(F11&gt;=7,3,IF(F11&gt;=4,4,IF(F11&gt;=1,5,6)))))</f>
        <v/>
      </c>
    </row>
    <row r="12">
      <c r="A12">
        <f>Stammdaten!A11&amp;", "&amp;Stammdaten!B11</f>
        <v/>
      </c>
      <c r="B12" t="n">
        <v>6</v>
      </c>
      <c r="C12" t="n">
        <v>7</v>
      </c>
      <c r="D12" t="n">
        <v>5</v>
      </c>
      <c r="E12">
        <f>SUM(B12:D12)</f>
        <v/>
      </c>
      <c r="F12" s="7">
        <f>IF(E3=0,0,IF((E12/E3)&gt;=0.95,15,IF((E12/E3)&gt;=0.9,14,IF((E12/E3)&gt;=0.85,13,IF((E12/E3)&gt;=0.8,12,IF((E12/E3)&gt;=0.75,11,IF((E12/E3)&gt;=0.7,10,IF((E12/E3)&gt;=0.65,9,IF((E12/E3)&gt;=0.6,8,IF((E12/E3)&gt;=0.55,7,IF((E12/E3)&gt;=0.5,6,IF((E12/E3)&gt;=0.45,5,IF((E12/E3)&gt;=0.4,4,IF((E12/E3)&gt;=0.33,3,IF((E12/E3)&gt;=0.27,2,IF((E12/E3)&gt;=0.2,1,0))))))))))))))))</f>
        <v/>
      </c>
      <c r="G12" s="7">
        <f>IF(F12&gt;=13,1,IF(F12&gt;=10,2,IF(F12&gt;=7,3,IF(F12&gt;=4,4,IF(F12&gt;=1,5,6)))))</f>
        <v/>
      </c>
    </row>
    <row r="13">
      <c r="A13" s="8">
        <f>Stammdaten!A12&amp;", "&amp;Stammdaten!B12</f>
        <v/>
      </c>
      <c r="B13" s="8" t="n">
        <v>5</v>
      </c>
      <c r="C13" s="8" t="n">
        <v>5</v>
      </c>
      <c r="D13" s="8" t="n">
        <v>4</v>
      </c>
      <c r="E13" s="8">
        <f>SUM(B13:D13)</f>
        <v/>
      </c>
      <c r="F13" s="7">
        <f>IF(E3=0,0,IF((E13/E3)&gt;=0.95,15,IF((E13/E3)&gt;=0.9,14,IF((E13/E3)&gt;=0.85,13,IF((E13/E3)&gt;=0.8,12,IF((E13/E3)&gt;=0.75,11,IF((E13/E3)&gt;=0.7,10,IF((E13/E3)&gt;=0.65,9,IF((E13/E3)&gt;=0.6,8,IF((E13/E3)&gt;=0.55,7,IF((E13/E3)&gt;=0.5,6,IF((E13/E3)&gt;=0.45,5,IF((E13/E3)&gt;=0.4,4,IF((E13/E3)&gt;=0.33,3,IF((E13/E3)&gt;=0.27,2,IF((E13/E3)&gt;=0.2,1,0))))))))))))))))</f>
        <v/>
      </c>
      <c r="G13" s="7">
        <f>IF(F13&gt;=13,1,IF(F13&gt;=10,2,IF(F13&gt;=7,3,IF(F13&gt;=4,4,IF(F13&gt;=1,5,6)))))</f>
        <v/>
      </c>
    </row>
    <row r="14">
      <c r="A14">
        <f>Stammdaten!A13&amp;", "&amp;Stammdaten!B13</f>
        <v/>
      </c>
      <c r="B14" t="n">
        <v>6</v>
      </c>
      <c r="C14" t="n">
        <v>7</v>
      </c>
      <c r="D14" t="n">
        <v>5</v>
      </c>
      <c r="E14">
        <f>SUM(B14:D14)</f>
        <v/>
      </c>
      <c r="F14" s="7">
        <f>IF(E3=0,0,IF((E14/E3)&gt;=0.95,15,IF((E14/E3)&gt;=0.9,14,IF((E14/E3)&gt;=0.85,13,IF((E14/E3)&gt;=0.8,12,IF((E14/E3)&gt;=0.75,11,IF((E14/E3)&gt;=0.7,10,IF((E14/E3)&gt;=0.65,9,IF((E14/E3)&gt;=0.6,8,IF((E14/E3)&gt;=0.55,7,IF((E14/E3)&gt;=0.5,6,IF((E14/E3)&gt;=0.45,5,IF((E14/E3)&gt;=0.4,4,IF((E14/E3)&gt;=0.33,3,IF((E14/E3)&gt;=0.27,2,IF((E14/E3)&gt;=0.2,1,0))))))))))))))))</f>
        <v/>
      </c>
      <c r="G14" s="7">
        <f>IF(F14&gt;=13,1,IF(F14&gt;=10,2,IF(F14&gt;=7,3,IF(F14&gt;=4,4,IF(F14&gt;=1,5,6)))))</f>
        <v/>
      </c>
    </row>
    <row r="15">
      <c r="A15" s="8">
        <f>Stammdaten!A14&amp;", "&amp;Stammdaten!B14</f>
        <v/>
      </c>
      <c r="B15" s="8" t="n">
        <v>3</v>
      </c>
      <c r="C15" s="8" t="n">
        <v>3</v>
      </c>
      <c r="D15" s="8" t="n">
        <v>2</v>
      </c>
      <c r="E15" s="8">
        <f>SUM(B15:D15)</f>
        <v/>
      </c>
      <c r="F15" s="7">
        <f>IF(E3=0,0,IF((E15/E3)&gt;=0.95,15,IF((E15/E3)&gt;=0.9,14,IF((E15/E3)&gt;=0.85,13,IF((E15/E3)&gt;=0.8,12,IF((E15/E3)&gt;=0.75,11,IF((E15/E3)&gt;=0.7,10,IF((E15/E3)&gt;=0.65,9,IF((E15/E3)&gt;=0.6,8,IF((E15/E3)&gt;=0.55,7,IF((E15/E3)&gt;=0.5,6,IF((E15/E3)&gt;=0.45,5,IF((E15/E3)&gt;=0.4,4,IF((E15/E3)&gt;=0.33,3,IF((E15/E3)&gt;=0.27,2,IF((E15/E3)&gt;=0.2,1,0))))))))))))))))</f>
        <v/>
      </c>
      <c r="G15" s="7">
        <f>IF(F15&gt;=13,1,IF(F15&gt;=10,2,IF(F15&gt;=7,3,IF(F15&gt;=4,4,IF(F15&gt;=1,5,6)))))</f>
        <v/>
      </c>
    </row>
    <row r="16">
      <c r="A16">
        <f>Stammdaten!A15&amp;", "&amp;Stammdaten!B15</f>
        <v/>
      </c>
      <c r="B16" t="n">
        <v>5</v>
      </c>
      <c r="C16" t="n">
        <v>6</v>
      </c>
      <c r="D16" t="n">
        <v>4</v>
      </c>
      <c r="E16">
        <f>SUM(B16:D16)</f>
        <v/>
      </c>
      <c r="F16" s="7">
        <f>IF(E3=0,0,IF((E16/E3)&gt;=0.95,15,IF((E16/E3)&gt;=0.9,14,IF((E16/E3)&gt;=0.85,13,IF((E16/E3)&gt;=0.8,12,IF((E16/E3)&gt;=0.75,11,IF((E16/E3)&gt;=0.7,10,IF((E16/E3)&gt;=0.65,9,IF((E16/E3)&gt;=0.6,8,IF((E16/E3)&gt;=0.55,7,IF((E16/E3)&gt;=0.5,6,IF((E16/E3)&gt;=0.45,5,IF((E16/E3)&gt;=0.4,4,IF((E16/E3)&gt;=0.33,3,IF((E16/E3)&gt;=0.27,2,IF((E16/E3)&gt;=0.2,1,0))))))))))))))))</f>
        <v/>
      </c>
      <c r="G16" s="7">
        <f>IF(F16&gt;=13,1,IF(F16&gt;=10,2,IF(F16&gt;=7,3,IF(F16&gt;=4,4,IF(F16&gt;=1,5,6)))))</f>
        <v/>
      </c>
    </row>
    <row r="17">
      <c r="A17" s="8">
        <f>Stammdaten!A16&amp;", "&amp;Stammdaten!B16</f>
        <v/>
      </c>
      <c r="B17" s="8" t="n">
        <v>2</v>
      </c>
      <c r="C17" s="8" t="n">
        <v>2</v>
      </c>
      <c r="D17" s="8" t="n">
        <v>1</v>
      </c>
      <c r="E17" s="8">
        <f>SUM(B17:D17)</f>
        <v/>
      </c>
      <c r="F17" s="7">
        <f>IF(E3=0,0,IF((E17/E3)&gt;=0.95,15,IF((E17/E3)&gt;=0.9,14,IF((E17/E3)&gt;=0.85,13,IF((E17/E3)&gt;=0.8,12,IF((E17/E3)&gt;=0.75,11,IF((E17/E3)&gt;=0.7,10,IF((E17/E3)&gt;=0.65,9,IF((E17/E3)&gt;=0.6,8,IF((E17/E3)&gt;=0.55,7,IF((E17/E3)&gt;=0.5,6,IF((E17/E3)&gt;=0.45,5,IF((E17/E3)&gt;=0.4,4,IF((E17/E3)&gt;=0.33,3,IF((E17/E3)&gt;=0.27,2,IF((E17/E3)&gt;=0.2,1,0))))))))))))))))</f>
        <v/>
      </c>
      <c r="G17" s="7">
        <f>IF(F17&gt;=13,1,IF(F17&gt;=10,2,IF(F17&gt;=7,3,IF(F17&gt;=4,4,IF(F17&gt;=1,5,6)))))</f>
        <v/>
      </c>
    </row>
    <row r="18">
      <c r="A18">
        <f>Stammdaten!A17&amp;", "&amp;Stammdaten!B17</f>
        <v/>
      </c>
      <c r="B18" t="n">
        <v>5</v>
      </c>
      <c r="C18" t="n">
        <v>6</v>
      </c>
      <c r="D18" t="n">
        <v>4</v>
      </c>
      <c r="E18">
        <f>SUM(B18:D18)</f>
        <v/>
      </c>
      <c r="F18" s="7">
        <f>IF(E3=0,0,IF((E18/E3)&gt;=0.95,15,IF((E18/E3)&gt;=0.9,14,IF((E18/E3)&gt;=0.85,13,IF((E18/E3)&gt;=0.8,12,IF((E18/E3)&gt;=0.75,11,IF((E18/E3)&gt;=0.7,10,IF((E18/E3)&gt;=0.65,9,IF((E18/E3)&gt;=0.6,8,IF((E18/E3)&gt;=0.55,7,IF((E18/E3)&gt;=0.5,6,IF((E18/E3)&gt;=0.45,5,IF((E18/E3)&gt;=0.4,4,IF((E18/E3)&gt;=0.33,3,IF((E18/E3)&gt;=0.27,2,IF((E18/E3)&gt;=0.2,1,0))))))))))))))))</f>
        <v/>
      </c>
      <c r="G18" s="7">
        <f>IF(F18&gt;=13,1,IF(F18&gt;=10,2,IF(F18&gt;=7,3,IF(F18&gt;=4,4,IF(F18&gt;=1,5,6)))))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3" customWidth="1" min="8" max="8"/>
    <col width="12" customWidth="1" min="9" max="9"/>
  </cols>
  <sheetData>
    <row r="1">
      <c r="A1" s="4" t="inlineStr">
        <is>
          <t>Schüler</t>
        </is>
      </c>
      <c r="B1" s="4" t="inlineStr">
        <is>
          <t>1a</t>
        </is>
      </c>
      <c r="C1" s="4" t="inlineStr">
        <is>
          <t>1b</t>
        </is>
      </c>
      <c r="D1" s="4" t="inlineStr">
        <is>
          <t>2</t>
        </is>
      </c>
      <c r="E1" s="4" t="inlineStr">
        <is>
          <t>3a</t>
        </is>
      </c>
      <c r="F1" s="4" t="inlineStr">
        <is>
          <t>3b</t>
        </is>
      </c>
      <c r="G1" s="4" t="inlineStr">
        <is>
          <t>Gesamt</t>
        </is>
      </c>
      <c r="H1" s="4" t="inlineStr">
        <is>
          <t>Note (0-15)</t>
        </is>
      </c>
      <c r="I1" s="4" t="inlineStr">
        <is>
          <t>Note (1-6)</t>
        </is>
      </c>
    </row>
    <row r="2">
      <c r="A2" s="5" t="inlineStr">
        <is>
          <t>Anforderungsbereich</t>
        </is>
      </c>
      <c r="B2" s="5" t="inlineStr">
        <is>
          <t>I</t>
        </is>
      </c>
      <c r="C2" s="5" t="inlineStr">
        <is>
          <t>I</t>
        </is>
      </c>
      <c r="D2" s="5" t="inlineStr">
        <is>
          <t>II</t>
        </is>
      </c>
      <c r="E2" s="5" t="inlineStr">
        <is>
          <t>II</t>
        </is>
      </c>
      <c r="F2" s="5" t="inlineStr">
        <is>
          <t>III</t>
        </is>
      </c>
      <c r="G2" s="5" t="n"/>
      <c r="H2" s="5" t="n"/>
      <c r="I2" s="5" t="n"/>
    </row>
    <row r="3">
      <c r="A3" s="6" t="inlineStr">
        <is>
          <t>Max. Punkte</t>
        </is>
      </c>
      <c r="B3" s="6" t="n">
        <v>4</v>
      </c>
      <c r="C3" s="6" t="n">
        <v>4</v>
      </c>
      <c r="D3" s="6" t="n">
        <v>10</v>
      </c>
      <c r="E3" s="6" t="n">
        <v>4</v>
      </c>
      <c r="F3" s="6" t="n">
        <v>8</v>
      </c>
      <c r="G3" s="6">
        <f>SUM(B3:F3)</f>
        <v/>
      </c>
      <c r="H3" s="6" t="n"/>
      <c r="I3" s="6" t="n"/>
    </row>
    <row r="4">
      <c r="A4">
        <f>Stammdaten!A3&amp;", "&amp;Stammdaten!B3</f>
        <v/>
      </c>
      <c r="B4" t="n">
        <v>4</v>
      </c>
      <c r="C4" t="n">
        <v>4</v>
      </c>
      <c r="D4" t="n">
        <v>9</v>
      </c>
      <c r="E4" t="n">
        <v>4</v>
      </c>
      <c r="F4" t="n">
        <v>7</v>
      </c>
      <c r="G4">
        <f>SUM(B4:F4)</f>
        <v/>
      </c>
      <c r="H4" s="7">
        <f>IF(G3=0,0,IF((G4/G3)&gt;=0.95,15,IF((G4/G3)&gt;=0.9,14,IF((G4/G3)&gt;=0.85,13,IF((G4/G3)&gt;=0.8,12,IF((G4/G3)&gt;=0.75,11,IF((G4/G3)&gt;=0.7,10,IF((G4/G3)&gt;=0.65,9,IF((G4/G3)&gt;=0.6,8,IF((G4/G3)&gt;=0.55,7,IF((G4/G3)&gt;=0.5,6,IF((G4/G3)&gt;=0.45,5,IF((G4/G3)&gt;=0.4,4,IF((G4/G3)&gt;=0.33,3,IF((G4/G3)&gt;=0.27,2,IF((G4/G3)&gt;=0.2,1,0))))))))))))))))</f>
        <v/>
      </c>
      <c r="I4" s="7">
        <f>IF(H4&gt;=13,1,IF(H4&gt;=10,2,IF(H4&gt;=7,3,IF(H4&gt;=4,4,IF(H4&gt;=1,5,6)))))</f>
        <v/>
      </c>
    </row>
    <row r="5">
      <c r="A5" s="8">
        <f>Stammdaten!A4&amp;", "&amp;Stammdaten!B4</f>
        <v/>
      </c>
      <c r="B5" s="8" t="n">
        <v>3</v>
      </c>
      <c r="C5" s="8" t="n">
        <v>3</v>
      </c>
      <c r="D5" s="8" t="n">
        <v>6</v>
      </c>
      <c r="E5" s="8" t="n">
        <v>3</v>
      </c>
      <c r="F5" s="8" t="n">
        <v>4</v>
      </c>
      <c r="G5" s="8">
        <f>SUM(B5:F5)</f>
        <v/>
      </c>
      <c r="H5" s="7">
        <f>IF(G3=0,0,IF((G5/G3)&gt;=0.95,15,IF((G5/G3)&gt;=0.9,14,IF((G5/G3)&gt;=0.85,13,IF((G5/G3)&gt;=0.8,12,IF((G5/G3)&gt;=0.75,11,IF((G5/G3)&gt;=0.7,10,IF((G5/G3)&gt;=0.65,9,IF((G5/G3)&gt;=0.6,8,IF((G5/G3)&gt;=0.55,7,IF((G5/G3)&gt;=0.5,6,IF((G5/G3)&gt;=0.45,5,IF((G5/G3)&gt;=0.4,4,IF((G5/G3)&gt;=0.33,3,IF((G5/G3)&gt;=0.27,2,IF((G5/G3)&gt;=0.2,1,0))))))))))))))))</f>
        <v/>
      </c>
      <c r="I5" s="7">
        <f>IF(H5&gt;=13,1,IF(H5&gt;=10,2,IF(H5&gt;=7,3,IF(H5&gt;=4,4,IF(H5&gt;=1,5,6)))))</f>
        <v/>
      </c>
    </row>
    <row r="6">
      <c r="A6">
        <f>Stammdaten!A5&amp;", "&amp;Stammdaten!B5</f>
        <v/>
      </c>
      <c r="B6" t="n">
        <v>4</v>
      </c>
      <c r="C6" t="n">
        <v>4</v>
      </c>
      <c r="D6" t="n">
        <v>10</v>
      </c>
      <c r="E6" t="n">
        <v>4</v>
      </c>
      <c r="F6" t="n">
        <v>8</v>
      </c>
      <c r="G6">
        <f>SUM(B6:F6)</f>
        <v/>
      </c>
      <c r="H6" s="7">
        <f>IF(G3=0,0,IF((G6/G3)&gt;=0.95,15,IF((G6/G3)&gt;=0.9,14,IF((G6/G3)&gt;=0.85,13,IF((G6/G3)&gt;=0.8,12,IF((G6/G3)&gt;=0.75,11,IF((G6/G3)&gt;=0.7,10,IF((G6/G3)&gt;=0.65,9,IF((G6/G3)&gt;=0.6,8,IF((G6/G3)&gt;=0.55,7,IF((G6/G3)&gt;=0.5,6,IF((G6/G3)&gt;=0.45,5,IF((G6/G3)&gt;=0.4,4,IF((G6/G3)&gt;=0.33,3,IF((G6/G3)&gt;=0.27,2,IF((G6/G3)&gt;=0.2,1,0))))))))))))))))</f>
        <v/>
      </c>
      <c r="I6" s="7">
        <f>IF(H6&gt;=13,1,IF(H6&gt;=10,2,IF(H6&gt;=7,3,IF(H6&gt;=4,4,IF(H6&gt;=1,5,6)))))</f>
        <v/>
      </c>
    </row>
    <row r="7">
      <c r="A7" s="8">
        <f>Stammdaten!A6&amp;", "&amp;Stammdaten!B6</f>
        <v/>
      </c>
      <c r="B7" s="8" t="n">
        <v>3</v>
      </c>
      <c r="C7" s="8" t="n">
        <v>2</v>
      </c>
      <c r="D7" s="8" t="n">
        <v>4</v>
      </c>
      <c r="E7" s="8" t="n">
        <v>2</v>
      </c>
      <c r="F7" s="8" t="n">
        <v>3</v>
      </c>
      <c r="G7" s="8">
        <f>SUM(B7:F7)</f>
        <v/>
      </c>
      <c r="H7" s="7">
        <f>IF(G3=0,0,IF((G7/G3)&gt;=0.95,15,IF((G7/G3)&gt;=0.9,14,IF((G7/G3)&gt;=0.85,13,IF((G7/G3)&gt;=0.8,12,IF((G7/G3)&gt;=0.75,11,IF((G7/G3)&gt;=0.7,10,IF((G7/G3)&gt;=0.65,9,IF((G7/G3)&gt;=0.6,8,IF((G7/G3)&gt;=0.55,7,IF((G7/G3)&gt;=0.5,6,IF((G7/G3)&gt;=0.45,5,IF((G7/G3)&gt;=0.4,4,IF((G7/G3)&gt;=0.33,3,IF((G7/G3)&gt;=0.27,2,IF((G7/G3)&gt;=0.2,1,0))))))))))))))))</f>
        <v/>
      </c>
      <c r="I7" s="7">
        <f>IF(H7&gt;=13,1,IF(H7&gt;=10,2,IF(H7&gt;=7,3,IF(H7&gt;=4,4,IF(H7&gt;=1,5,6)))))</f>
        <v/>
      </c>
    </row>
    <row r="8">
      <c r="A8">
        <f>Stammdaten!A7&amp;", "&amp;Stammdaten!B7</f>
        <v/>
      </c>
      <c r="B8" t="n">
        <v>4</v>
      </c>
      <c r="C8" t="n">
        <v>4</v>
      </c>
      <c r="D8" t="n">
        <v>8</v>
      </c>
      <c r="E8" t="n">
        <v>4</v>
      </c>
      <c r="F8" t="n">
        <v>7</v>
      </c>
      <c r="G8">
        <f>SUM(B8:F8)</f>
        <v/>
      </c>
      <c r="H8" s="7">
        <f>IF(G3=0,0,IF((G8/G3)&gt;=0.95,15,IF((G8/G3)&gt;=0.9,14,IF((G8/G3)&gt;=0.85,13,IF((G8/G3)&gt;=0.8,12,IF((G8/G3)&gt;=0.75,11,IF((G8/G3)&gt;=0.7,10,IF((G8/G3)&gt;=0.65,9,IF((G8/G3)&gt;=0.6,8,IF((G8/G3)&gt;=0.55,7,IF((G8/G3)&gt;=0.5,6,IF((G8/G3)&gt;=0.45,5,IF((G8/G3)&gt;=0.4,4,IF((G8/G3)&gt;=0.33,3,IF((G8/G3)&gt;=0.27,2,IF((G8/G3)&gt;=0.2,1,0))))))))))))))))</f>
        <v/>
      </c>
      <c r="I8" s="7">
        <f>IF(H8&gt;=13,1,IF(H8&gt;=10,2,IF(H8&gt;=7,3,IF(H8&gt;=4,4,IF(H8&gt;=1,5,6)))))</f>
        <v/>
      </c>
    </row>
    <row r="9">
      <c r="A9" s="8">
        <f>Stammdaten!A9&amp;", "&amp;Stammdaten!B9</f>
        <v/>
      </c>
      <c r="B9" s="8" t="n">
        <v>4</v>
      </c>
      <c r="C9" s="8" t="n">
        <v>3</v>
      </c>
      <c r="D9" s="8" t="n">
        <v>7</v>
      </c>
      <c r="E9" s="8" t="n">
        <v>3</v>
      </c>
      <c r="F9" s="8" t="n">
        <v>6</v>
      </c>
      <c r="G9" s="8">
        <f>SUM(B9:F9)</f>
        <v/>
      </c>
      <c r="H9" s="7">
        <f>IF(G3=0,0,IF((G9/G3)&gt;=0.95,15,IF((G9/G3)&gt;=0.9,14,IF((G9/G3)&gt;=0.85,13,IF((G9/G3)&gt;=0.8,12,IF((G9/G3)&gt;=0.75,11,IF((G9/G3)&gt;=0.7,10,IF((G9/G3)&gt;=0.65,9,IF((G9/G3)&gt;=0.6,8,IF((G9/G3)&gt;=0.55,7,IF((G9/G3)&gt;=0.5,6,IF((G9/G3)&gt;=0.45,5,IF((G9/G3)&gt;=0.4,4,IF((G9/G3)&gt;=0.33,3,IF((G9/G3)&gt;=0.27,2,IF((G9/G3)&gt;=0.2,1,0))))))))))))))))</f>
        <v/>
      </c>
      <c r="I9" s="7">
        <f>IF(H9&gt;=13,1,IF(H9&gt;=10,2,IF(H9&gt;=7,3,IF(H9&gt;=4,4,IF(H9&gt;=1,5,6)))))</f>
        <v/>
      </c>
    </row>
    <row r="10">
      <c r="A10">
        <f>Stammdaten!A10&amp;", "&amp;Stammdaten!B10</f>
        <v/>
      </c>
      <c r="B10" t="n">
        <v>2</v>
      </c>
      <c r="C10" t="n">
        <v>2</v>
      </c>
      <c r="D10" t="n">
        <v>4</v>
      </c>
      <c r="E10" t="n">
        <v>2</v>
      </c>
      <c r="F10" t="n">
        <v>3</v>
      </c>
      <c r="G10">
        <f>SUM(B10:F10)</f>
        <v/>
      </c>
      <c r="H10" s="7">
        <f>IF(G3=0,0,IF((G10/G3)&gt;=0.95,15,IF((G10/G3)&gt;=0.9,14,IF((G10/G3)&gt;=0.85,13,IF((G10/G3)&gt;=0.8,12,IF((G10/G3)&gt;=0.75,11,IF((G10/G3)&gt;=0.7,10,IF((G10/G3)&gt;=0.65,9,IF((G10/G3)&gt;=0.6,8,IF((G10/G3)&gt;=0.55,7,IF((G10/G3)&gt;=0.5,6,IF((G10/G3)&gt;=0.45,5,IF((G10/G3)&gt;=0.4,4,IF((G10/G3)&gt;=0.33,3,IF((G10/G3)&gt;=0.27,2,IF((G10/G3)&gt;=0.2,1,0))))))))))))))))</f>
        <v/>
      </c>
      <c r="I10" s="7">
        <f>IF(H10&gt;=13,1,IF(H10&gt;=10,2,IF(H10&gt;=7,3,IF(H10&gt;=4,4,IF(H10&gt;=1,5,6)))))</f>
        <v/>
      </c>
    </row>
    <row r="11">
      <c r="A11" s="8">
        <f>Stammdaten!A11&amp;", "&amp;Stammdaten!B11</f>
        <v/>
      </c>
      <c r="B11" s="8" t="n">
        <v>4</v>
      </c>
      <c r="C11" s="8" t="n">
        <v>4</v>
      </c>
      <c r="D11" s="8" t="n">
        <v>9</v>
      </c>
      <c r="E11" s="8" t="n">
        <v>4</v>
      </c>
      <c r="F11" s="8" t="n">
        <v>6</v>
      </c>
      <c r="G11" s="8">
        <f>SUM(B11:F11)</f>
        <v/>
      </c>
      <c r="H11" s="7">
        <f>IF(G3=0,0,IF((G11/G3)&gt;=0.95,15,IF((G11/G3)&gt;=0.9,14,IF((G11/G3)&gt;=0.85,13,IF((G11/G3)&gt;=0.8,12,IF((G11/G3)&gt;=0.75,11,IF((G11/G3)&gt;=0.7,10,IF((G11/G3)&gt;=0.65,9,IF((G11/G3)&gt;=0.6,8,IF((G11/G3)&gt;=0.55,7,IF((G11/G3)&gt;=0.5,6,IF((G11/G3)&gt;=0.45,5,IF((G11/G3)&gt;=0.4,4,IF((G11/G3)&gt;=0.33,3,IF((G11/G3)&gt;=0.27,2,IF((G11/G3)&gt;=0.2,1,0))))))))))))))))</f>
        <v/>
      </c>
      <c r="I11" s="7">
        <f>IF(H11&gt;=13,1,IF(H11&gt;=10,2,IF(H11&gt;=7,3,IF(H11&gt;=4,4,IF(H11&gt;=1,5,6)))))</f>
        <v/>
      </c>
    </row>
    <row r="12">
      <c r="A12">
        <f>Stammdaten!A12&amp;", "&amp;Stammdaten!B12</f>
        <v/>
      </c>
      <c r="B12" t="n">
        <v>3</v>
      </c>
      <c r="C12" t="n">
        <v>3</v>
      </c>
      <c r="D12" t="n">
        <v>6</v>
      </c>
      <c r="E12" t="n">
        <v>3</v>
      </c>
      <c r="F12" t="n">
        <v>5</v>
      </c>
      <c r="G12">
        <f>SUM(B12:F12)</f>
        <v/>
      </c>
      <c r="H12" s="7">
        <f>IF(G3=0,0,IF((G12/G3)&gt;=0.95,15,IF((G12/G3)&gt;=0.9,14,IF((G12/G3)&gt;=0.85,13,IF((G12/G3)&gt;=0.8,12,IF((G12/G3)&gt;=0.75,11,IF((G12/G3)&gt;=0.7,10,IF((G12/G3)&gt;=0.65,9,IF((G12/G3)&gt;=0.6,8,IF((G12/G3)&gt;=0.55,7,IF((G12/G3)&gt;=0.5,6,IF((G12/G3)&gt;=0.45,5,IF((G12/G3)&gt;=0.4,4,IF((G12/G3)&gt;=0.33,3,IF((G12/G3)&gt;=0.27,2,IF((G12/G3)&gt;=0.2,1,0))))))))))))))))</f>
        <v/>
      </c>
      <c r="I12" s="7">
        <f>IF(H12&gt;=13,1,IF(H12&gt;=10,2,IF(H12&gt;=7,3,IF(H12&gt;=4,4,IF(H12&gt;=1,5,6)))))</f>
        <v/>
      </c>
    </row>
    <row r="13">
      <c r="A13" s="8">
        <f>Stammdaten!A13&amp;", "&amp;Stammdaten!B13</f>
        <v/>
      </c>
      <c r="B13" s="8" t="n">
        <v>4</v>
      </c>
      <c r="C13" s="8" t="n">
        <v>4</v>
      </c>
      <c r="D13" s="8" t="n">
        <v>9</v>
      </c>
      <c r="E13" s="8" t="n">
        <v>4</v>
      </c>
      <c r="F13" s="8" t="n">
        <v>7</v>
      </c>
      <c r="G13" s="8">
        <f>SUM(B13:F13)</f>
        <v/>
      </c>
      <c r="H13" s="7">
        <f>IF(G3=0,0,IF((G13/G3)&gt;=0.95,15,IF((G13/G3)&gt;=0.9,14,IF((G13/G3)&gt;=0.85,13,IF((G13/G3)&gt;=0.8,12,IF((G13/G3)&gt;=0.75,11,IF((G13/G3)&gt;=0.7,10,IF((G13/G3)&gt;=0.65,9,IF((G13/G3)&gt;=0.6,8,IF((G13/G3)&gt;=0.55,7,IF((G13/G3)&gt;=0.5,6,IF((G13/G3)&gt;=0.45,5,IF((G13/G3)&gt;=0.4,4,IF((G13/G3)&gt;=0.33,3,IF((G13/G3)&gt;=0.27,2,IF((G13/G3)&gt;=0.2,1,0))))))))))))))))</f>
        <v/>
      </c>
      <c r="I13" s="7">
        <f>IF(H13&gt;=13,1,IF(H13&gt;=10,2,IF(H13&gt;=7,3,IF(H13&gt;=4,4,IF(H13&gt;=1,5,6)))))</f>
        <v/>
      </c>
    </row>
    <row r="14">
      <c r="A14">
        <f>Stammdaten!A14&amp;", "&amp;Stammdaten!B14</f>
        <v/>
      </c>
      <c r="B14" t="n">
        <v>2</v>
      </c>
      <c r="C14" t="n">
        <v>1</v>
      </c>
      <c r="D14" t="n">
        <v>3</v>
      </c>
      <c r="E14" t="n">
        <v>1</v>
      </c>
      <c r="F14" t="n">
        <v>2</v>
      </c>
      <c r="G14">
        <f>SUM(B14:F14)</f>
        <v/>
      </c>
      <c r="H14" s="7">
        <f>IF(G3=0,0,IF((G14/G3)&gt;=0.95,15,IF((G14/G3)&gt;=0.9,14,IF((G14/G3)&gt;=0.85,13,IF((G14/G3)&gt;=0.8,12,IF((G14/G3)&gt;=0.75,11,IF((G14/G3)&gt;=0.7,10,IF((G14/G3)&gt;=0.65,9,IF((G14/G3)&gt;=0.6,8,IF((G14/G3)&gt;=0.55,7,IF((G14/G3)&gt;=0.5,6,IF((G14/G3)&gt;=0.45,5,IF((G14/G3)&gt;=0.4,4,IF((G14/G3)&gt;=0.33,3,IF((G14/G3)&gt;=0.27,2,IF((G14/G3)&gt;=0.2,1,0))))))))))))))))</f>
        <v/>
      </c>
      <c r="I14" s="7">
        <f>IF(H14&gt;=13,1,IF(H14&gt;=10,2,IF(H14&gt;=7,3,IF(H14&gt;=4,4,IF(H14&gt;=1,5,6)))))</f>
        <v/>
      </c>
    </row>
    <row r="15">
      <c r="A15" s="8">
        <f>Stammdaten!A15&amp;", "&amp;Stammdaten!B15</f>
        <v/>
      </c>
      <c r="B15" s="8" t="n">
        <v>3</v>
      </c>
      <c r="C15" s="8" t="n">
        <v>4</v>
      </c>
      <c r="D15" s="8" t="n">
        <v>7</v>
      </c>
      <c r="E15" s="8" t="n">
        <v>3</v>
      </c>
      <c r="F15" s="8" t="n">
        <v>6</v>
      </c>
      <c r="G15" s="8">
        <f>SUM(B15:F15)</f>
        <v/>
      </c>
      <c r="H15" s="7">
        <f>IF(G3=0,0,IF((G15/G3)&gt;=0.95,15,IF((G15/G3)&gt;=0.9,14,IF((G15/G3)&gt;=0.85,13,IF((G15/G3)&gt;=0.8,12,IF((G15/G3)&gt;=0.75,11,IF((G15/G3)&gt;=0.7,10,IF((G15/G3)&gt;=0.65,9,IF((G15/G3)&gt;=0.6,8,IF((G15/G3)&gt;=0.55,7,IF((G15/G3)&gt;=0.5,6,IF((G15/G3)&gt;=0.45,5,IF((G15/G3)&gt;=0.4,4,IF((G15/G3)&gt;=0.33,3,IF((G15/G3)&gt;=0.27,2,IF((G15/G3)&gt;=0.2,1,0))))))))))))))))</f>
        <v/>
      </c>
      <c r="I15" s="7">
        <f>IF(H15&gt;=13,1,IF(H15&gt;=10,2,IF(H15&gt;=7,3,IF(H15&gt;=4,4,IF(H15&gt;=1,5,6)))))</f>
        <v/>
      </c>
    </row>
    <row r="16">
      <c r="A16">
        <f>Stammdaten!A16&amp;", "&amp;Stammdaten!B16</f>
        <v/>
      </c>
      <c r="B16" t="n">
        <v>1</v>
      </c>
      <c r="C16" t="n">
        <v>1</v>
      </c>
      <c r="D16" t="n">
        <v>2</v>
      </c>
      <c r="E16" t="n">
        <v>1</v>
      </c>
      <c r="F16" t="n">
        <v>1</v>
      </c>
      <c r="G16">
        <f>SUM(B16:F16)</f>
        <v/>
      </c>
      <c r="H16" s="7">
        <f>IF(G3=0,0,IF((G16/G3)&gt;=0.95,15,IF((G16/G3)&gt;=0.9,14,IF((G16/G3)&gt;=0.85,13,IF((G16/G3)&gt;=0.8,12,IF((G16/G3)&gt;=0.75,11,IF((G16/G3)&gt;=0.7,10,IF((G16/G3)&gt;=0.65,9,IF((G16/G3)&gt;=0.6,8,IF((G16/G3)&gt;=0.55,7,IF((G16/G3)&gt;=0.5,6,IF((G16/G3)&gt;=0.45,5,IF((G16/G3)&gt;=0.4,4,IF((G16/G3)&gt;=0.33,3,IF((G16/G3)&gt;=0.27,2,IF((G16/G3)&gt;=0.2,1,0))))))))))))))))</f>
        <v/>
      </c>
      <c r="I16" s="7">
        <f>IF(H16&gt;=13,1,IF(H16&gt;=10,2,IF(H16&gt;=7,3,IF(H16&gt;=4,4,IF(H16&gt;=1,5,6)))))</f>
        <v/>
      </c>
    </row>
    <row r="17">
      <c r="A17" s="8">
        <f>Stammdaten!A17&amp;", "&amp;Stammdaten!B17</f>
        <v/>
      </c>
      <c r="B17" s="8" t="n">
        <v>3</v>
      </c>
      <c r="C17" s="8" t="n">
        <v>4</v>
      </c>
      <c r="D17" s="8" t="n">
        <v>7</v>
      </c>
      <c r="E17" s="8" t="n">
        <v>3</v>
      </c>
      <c r="F17" s="8" t="n">
        <v>5</v>
      </c>
      <c r="G17" s="8">
        <f>SUM(B17:F17)</f>
        <v/>
      </c>
      <c r="H17" s="7">
        <f>IF(G3=0,0,IF((G17/G3)&gt;=0.95,15,IF((G17/G3)&gt;=0.9,14,IF((G17/G3)&gt;=0.85,13,IF((G17/G3)&gt;=0.8,12,IF((G17/G3)&gt;=0.75,11,IF((G17/G3)&gt;=0.7,10,IF((G17/G3)&gt;=0.65,9,IF((G17/G3)&gt;=0.6,8,IF((G17/G3)&gt;=0.55,7,IF((G17/G3)&gt;=0.5,6,IF((G17/G3)&gt;=0.45,5,IF((G17/G3)&gt;=0.4,4,IF((G17/G3)&gt;=0.33,3,IF((G17/G3)&gt;=0.27,2,IF((G17/G3)&gt;=0.2,1,0))))))))))))))))</f>
        <v/>
      </c>
      <c r="I17" s="7">
        <f>IF(H17&gt;=13,1,IF(H17&gt;=10,2,IF(H17&gt;=7,3,IF(H17&gt;=4,4,IF(H17&gt;=1,5,6)))))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5" customWidth="1" min="5" max="5"/>
    <col width="13" customWidth="1" min="6" max="6"/>
  </cols>
  <sheetData>
    <row r="1" ht="30" customHeight="1">
      <c r="A1" s="3" t="inlineStr">
        <is>
          <t>Schüler</t>
        </is>
      </c>
      <c r="B1" s="3" t="inlineStr">
        <is>
          <t>Klausur 1</t>
        </is>
      </c>
      <c r="C1" s="3" t="inlineStr">
        <is>
          <t>Kurztest 1</t>
        </is>
      </c>
      <c r="D1" s="3" t="inlineStr">
        <is>
          <t>Klausur 2</t>
        </is>
      </c>
      <c r="E1" s="3" t="inlineStr">
        <is>
          <t>Ø (gewichtet)</t>
        </is>
      </c>
      <c r="F1" s="3" t="inlineStr">
        <is>
          <t>Zeugnisnote</t>
        </is>
      </c>
    </row>
    <row r="2">
      <c r="A2">
        <f>Stammdaten!A3&amp;", "&amp;Stammdaten!B3</f>
        <v/>
      </c>
      <c r="B2">
        <f>'LN_Klausur 1'!I4</f>
        <v/>
      </c>
      <c r="C2">
        <f>'LN_Kurztest 1'!F4</f>
        <v/>
      </c>
      <c r="D2">
        <f>'LN_Klausur 2'!H4</f>
        <v/>
      </c>
      <c r="E2">
        <f>AVERAGE(B2:D2)</f>
        <v/>
      </c>
      <c r="F2">
        <f>ROUND(E2,0)</f>
        <v/>
      </c>
    </row>
    <row r="3">
      <c r="A3">
        <f>Stammdaten!A4&amp;", "&amp;Stammdaten!B4</f>
        <v/>
      </c>
      <c r="B3">
        <f>'LN_Klausur 1'!I5</f>
        <v/>
      </c>
      <c r="C3">
        <f>'LN_Kurztest 1'!F5</f>
        <v/>
      </c>
      <c r="D3">
        <f>'LN_Klausur 2'!H5</f>
        <v/>
      </c>
      <c r="E3">
        <f>AVERAGE(B3:D3)</f>
        <v/>
      </c>
      <c r="F3">
        <f>ROUND(E3,0)</f>
        <v/>
      </c>
    </row>
    <row r="4">
      <c r="A4">
        <f>Stammdaten!A5&amp;", "&amp;Stammdaten!B5</f>
        <v/>
      </c>
      <c r="B4">
        <f>'LN_Klausur 1'!I6</f>
        <v/>
      </c>
      <c r="C4">
        <f>'LN_Kurztest 1'!F6</f>
        <v/>
      </c>
      <c r="D4">
        <f>'LN_Klausur 2'!H6</f>
        <v/>
      </c>
      <c r="E4">
        <f>AVERAGE(B4:D4)</f>
        <v/>
      </c>
      <c r="F4">
        <f>ROUND(E4,0)</f>
        <v/>
      </c>
    </row>
    <row r="5">
      <c r="A5">
        <f>Stammdaten!A6&amp;", "&amp;Stammdaten!B6</f>
        <v/>
      </c>
      <c r="B5">
        <f>'LN_Klausur 1'!I7</f>
        <v/>
      </c>
      <c r="C5">
        <f>'LN_Kurztest 1'!F7</f>
        <v/>
      </c>
      <c r="D5">
        <f>'LN_Klausur 2'!H7</f>
        <v/>
      </c>
      <c r="E5">
        <f>AVERAGE(B5:D5)</f>
        <v/>
      </c>
      <c r="F5">
        <f>ROUND(E5,0)</f>
        <v/>
      </c>
    </row>
    <row r="6">
      <c r="A6">
        <f>Stammdaten!A7&amp;", "&amp;Stammdaten!B7</f>
        <v/>
      </c>
      <c r="B6">
        <f>'LN_Klausur 1'!I8</f>
        <v/>
      </c>
      <c r="C6">
        <f>'LN_Kurztest 1'!F8</f>
        <v/>
      </c>
      <c r="D6">
        <f>'LN_Klausur 2'!H8</f>
        <v/>
      </c>
      <c r="E6">
        <f>AVERAGE(B6:D6)</f>
        <v/>
      </c>
      <c r="F6">
        <f>ROUND(E6,0)</f>
        <v/>
      </c>
    </row>
    <row r="7"/>
    <row r="8">
      <c r="A8">
        <f>Stammdaten!A9&amp;", "&amp;Stammdaten!B9</f>
        <v/>
      </c>
      <c r="B8">
        <f>'LN_Klausur 1'!I10</f>
        <v/>
      </c>
      <c r="C8">
        <f>'LN_Kurztest 1'!F10</f>
        <v/>
      </c>
      <c r="D8">
        <f>'LN_Klausur 2'!H9</f>
        <v/>
      </c>
      <c r="E8">
        <f>AVERAGE(B8:D8)</f>
        <v/>
      </c>
      <c r="F8">
        <f>ROUND(E8,0)</f>
        <v/>
      </c>
    </row>
    <row r="9">
      <c r="A9">
        <f>Stammdaten!A10&amp;", "&amp;Stammdaten!B10</f>
        <v/>
      </c>
      <c r="B9">
        <f>'LN_Klausur 1'!I11</f>
        <v/>
      </c>
      <c r="C9">
        <f>'LN_Kurztest 1'!F11</f>
        <v/>
      </c>
      <c r="D9">
        <f>'LN_Klausur 2'!H10</f>
        <v/>
      </c>
      <c r="E9">
        <f>AVERAGE(B9:D9)</f>
        <v/>
      </c>
      <c r="F9">
        <f>ROUND(E9,0)</f>
        <v/>
      </c>
    </row>
    <row r="10">
      <c r="A10">
        <f>Stammdaten!A11&amp;", "&amp;Stammdaten!B11</f>
        <v/>
      </c>
      <c r="B10">
        <f>'LN_Klausur 1'!I12</f>
        <v/>
      </c>
      <c r="C10">
        <f>'LN_Kurztest 1'!F12</f>
        <v/>
      </c>
      <c r="D10">
        <f>'LN_Klausur 2'!H11</f>
        <v/>
      </c>
      <c r="E10">
        <f>AVERAGE(B10:D10)</f>
        <v/>
      </c>
      <c r="F10">
        <f>ROUND(E10,0)</f>
        <v/>
      </c>
    </row>
    <row r="11">
      <c r="A11">
        <f>Stammdaten!A12&amp;", "&amp;Stammdaten!B12</f>
        <v/>
      </c>
      <c r="B11">
        <f>'LN_Klausur 1'!I13</f>
        <v/>
      </c>
      <c r="C11">
        <f>'LN_Kurztest 1'!F13</f>
        <v/>
      </c>
      <c r="D11">
        <f>'LN_Klausur 2'!H12</f>
        <v/>
      </c>
      <c r="E11">
        <f>AVERAGE(B11:D11)</f>
        <v/>
      </c>
      <c r="F11">
        <f>ROUND(E11,0)</f>
        <v/>
      </c>
    </row>
    <row r="12">
      <c r="A12">
        <f>Stammdaten!A13&amp;", "&amp;Stammdaten!B13</f>
        <v/>
      </c>
      <c r="B12">
        <f>'LN_Klausur 1'!I14</f>
        <v/>
      </c>
      <c r="C12">
        <f>'LN_Kurztest 1'!F14</f>
        <v/>
      </c>
      <c r="D12">
        <f>'LN_Klausur 2'!H13</f>
        <v/>
      </c>
      <c r="E12">
        <f>AVERAGE(B12:D12)</f>
        <v/>
      </c>
      <c r="F12">
        <f>ROUND(E12,0)</f>
        <v/>
      </c>
    </row>
    <row r="13">
      <c r="A13">
        <f>Stammdaten!A14&amp;", "&amp;Stammdaten!B14</f>
        <v/>
      </c>
      <c r="B13">
        <f>'LN_Klausur 1'!I15</f>
        <v/>
      </c>
      <c r="C13">
        <f>'LN_Kurztest 1'!F15</f>
        <v/>
      </c>
      <c r="D13">
        <f>'LN_Klausur 2'!H14</f>
        <v/>
      </c>
      <c r="E13">
        <f>AVERAGE(B13:D13)</f>
        <v/>
      </c>
      <c r="F13">
        <f>ROUND(E13,0)</f>
        <v/>
      </c>
    </row>
    <row r="14">
      <c r="A14">
        <f>Stammdaten!A15&amp;", "&amp;Stammdaten!B15</f>
        <v/>
      </c>
      <c r="B14">
        <f>'LN_Klausur 1'!I16</f>
        <v/>
      </c>
      <c r="C14">
        <f>'LN_Kurztest 1'!F16</f>
        <v/>
      </c>
      <c r="D14">
        <f>'LN_Klausur 2'!H15</f>
        <v/>
      </c>
      <c r="E14">
        <f>AVERAGE(B14:D14)</f>
        <v/>
      </c>
      <c r="F14">
        <f>ROUND(E14,0)</f>
        <v/>
      </c>
    </row>
    <row r="15">
      <c r="A15">
        <f>Stammdaten!A16&amp;", "&amp;Stammdaten!B16</f>
        <v/>
      </c>
      <c r="B15">
        <f>'LN_Klausur 1'!I17</f>
        <v/>
      </c>
      <c r="C15">
        <f>'LN_Kurztest 1'!F17</f>
        <v/>
      </c>
      <c r="D15">
        <f>'LN_Klausur 2'!H16</f>
        <v/>
      </c>
      <c r="E15">
        <f>AVERAGE(B15:D15)</f>
        <v/>
      </c>
      <c r="F15">
        <f>ROUND(E15,0)</f>
        <v/>
      </c>
    </row>
    <row r="16">
      <c r="A16">
        <f>Stammdaten!A17&amp;", "&amp;Stammdaten!B17</f>
        <v/>
      </c>
      <c r="B16">
        <f>'LN_Klausur 1'!I18</f>
        <v/>
      </c>
      <c r="C16">
        <f>'LN_Kurztest 1'!F18</f>
        <v/>
      </c>
      <c r="D16">
        <f>'LN_Klausur 2'!H17</f>
        <v/>
      </c>
      <c r="E16">
        <f>AVERAGE(B16:D16)</f>
        <v/>
      </c>
      <c r="F16">
        <f>ROUND(E16,0)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5" customWidth="1" min="5" max="5"/>
    <col width="13" customWidth="1" min="6" max="6"/>
  </cols>
  <sheetData>
    <row r="1" ht="30" customHeight="1">
      <c r="A1" s="3" t="inlineStr">
        <is>
          <t>Schüler</t>
        </is>
      </c>
      <c r="B1" s="3" t="inlineStr">
        <is>
          <t>Klausur 1</t>
        </is>
      </c>
      <c r="C1" s="3" t="inlineStr">
        <is>
          <t>Kurztest 1</t>
        </is>
      </c>
      <c r="D1" s="3" t="inlineStr">
        <is>
          <t>Klausur 2</t>
        </is>
      </c>
      <c r="E1" s="3" t="inlineStr">
        <is>
          <t>Ø (gewichtet)</t>
        </is>
      </c>
      <c r="F1" s="3" t="inlineStr">
        <is>
          <t>Zeugnisnote</t>
        </is>
      </c>
    </row>
    <row r="2">
      <c r="A2">
        <f>Stammdaten!A3&amp;", "&amp;Stammdaten!B3</f>
        <v/>
      </c>
      <c r="B2">
        <f>'LN_Klausur 1'!I4</f>
        <v/>
      </c>
      <c r="C2">
        <f>'LN_Kurztest 1'!F4</f>
        <v/>
      </c>
      <c r="D2">
        <f>'LN_Klausur 2'!H4</f>
        <v/>
      </c>
      <c r="E2">
        <f>AVERAGE(B2:D2)</f>
        <v/>
      </c>
      <c r="F2">
        <f>ROUND(E2,0)</f>
        <v/>
      </c>
    </row>
    <row r="3">
      <c r="A3">
        <f>Stammdaten!A4&amp;", "&amp;Stammdaten!B4</f>
        <v/>
      </c>
      <c r="B3">
        <f>'LN_Klausur 1'!I5</f>
        <v/>
      </c>
      <c r="C3">
        <f>'LN_Kurztest 1'!F5</f>
        <v/>
      </c>
      <c r="D3">
        <f>'LN_Klausur 2'!H5</f>
        <v/>
      </c>
      <c r="E3">
        <f>AVERAGE(B3:D3)</f>
        <v/>
      </c>
      <c r="F3">
        <f>ROUND(E3,0)</f>
        <v/>
      </c>
    </row>
    <row r="4">
      <c r="A4">
        <f>Stammdaten!A5&amp;", "&amp;Stammdaten!B5</f>
        <v/>
      </c>
      <c r="B4">
        <f>'LN_Klausur 1'!I6</f>
        <v/>
      </c>
      <c r="C4">
        <f>'LN_Kurztest 1'!F6</f>
        <v/>
      </c>
      <c r="D4">
        <f>'LN_Klausur 2'!H6</f>
        <v/>
      </c>
      <c r="E4">
        <f>AVERAGE(B4:D4)</f>
        <v/>
      </c>
      <c r="F4">
        <f>ROUND(E4,0)</f>
        <v/>
      </c>
    </row>
    <row r="5">
      <c r="A5">
        <f>Stammdaten!A6&amp;", "&amp;Stammdaten!B6</f>
        <v/>
      </c>
      <c r="B5">
        <f>'LN_Klausur 1'!I7</f>
        <v/>
      </c>
      <c r="C5">
        <f>'LN_Kurztest 1'!F7</f>
        <v/>
      </c>
      <c r="D5">
        <f>'LN_Klausur 2'!H7</f>
        <v/>
      </c>
      <c r="E5">
        <f>AVERAGE(B5:D5)</f>
        <v/>
      </c>
      <c r="F5">
        <f>ROUND(E5,0)</f>
        <v/>
      </c>
    </row>
    <row r="6">
      <c r="A6">
        <f>Stammdaten!A7&amp;", "&amp;Stammdaten!B7</f>
        <v/>
      </c>
      <c r="B6">
        <f>'LN_Klausur 1'!I8</f>
        <v/>
      </c>
      <c r="C6">
        <f>'LN_Kurztest 1'!F8</f>
        <v/>
      </c>
      <c r="D6">
        <f>'LN_Klausur 2'!H8</f>
        <v/>
      </c>
      <c r="E6">
        <f>AVERAGE(B6:D6)</f>
        <v/>
      </c>
      <c r="F6">
        <f>ROUND(E6,0)</f>
        <v/>
      </c>
    </row>
    <row r="7"/>
    <row r="8">
      <c r="A8">
        <f>Stammdaten!A9&amp;", "&amp;Stammdaten!B9</f>
        <v/>
      </c>
      <c r="B8">
        <f>'LN_Klausur 1'!I10</f>
        <v/>
      </c>
      <c r="C8">
        <f>'LN_Kurztest 1'!F10</f>
        <v/>
      </c>
      <c r="D8">
        <f>'LN_Klausur 2'!H9</f>
        <v/>
      </c>
      <c r="E8">
        <f>AVERAGE(B8:D8)</f>
        <v/>
      </c>
      <c r="F8">
        <f>ROUND(E8,0)</f>
        <v/>
      </c>
    </row>
    <row r="9">
      <c r="A9">
        <f>Stammdaten!A10&amp;", "&amp;Stammdaten!B10</f>
        <v/>
      </c>
      <c r="B9">
        <f>'LN_Klausur 1'!I11</f>
        <v/>
      </c>
      <c r="C9">
        <f>'LN_Kurztest 1'!F11</f>
        <v/>
      </c>
      <c r="D9">
        <f>'LN_Klausur 2'!H10</f>
        <v/>
      </c>
      <c r="E9">
        <f>AVERAGE(B9:D9)</f>
        <v/>
      </c>
      <c r="F9">
        <f>ROUND(E9,0)</f>
        <v/>
      </c>
    </row>
    <row r="10">
      <c r="A10">
        <f>Stammdaten!A11&amp;", "&amp;Stammdaten!B11</f>
        <v/>
      </c>
      <c r="B10">
        <f>'LN_Klausur 1'!I12</f>
        <v/>
      </c>
      <c r="C10">
        <f>'LN_Kurztest 1'!F12</f>
        <v/>
      </c>
      <c r="D10">
        <f>'LN_Klausur 2'!H11</f>
        <v/>
      </c>
      <c r="E10">
        <f>AVERAGE(B10:D10)</f>
        <v/>
      </c>
      <c r="F10">
        <f>ROUND(E10,0)</f>
        <v/>
      </c>
    </row>
    <row r="11">
      <c r="A11">
        <f>Stammdaten!A12&amp;", "&amp;Stammdaten!B12</f>
        <v/>
      </c>
      <c r="B11">
        <f>'LN_Klausur 1'!I13</f>
        <v/>
      </c>
      <c r="C11">
        <f>'LN_Kurztest 1'!F13</f>
        <v/>
      </c>
      <c r="D11">
        <f>'LN_Klausur 2'!H12</f>
        <v/>
      </c>
      <c r="E11">
        <f>AVERAGE(B11:D11)</f>
        <v/>
      </c>
      <c r="F11">
        <f>ROUND(E11,0)</f>
        <v/>
      </c>
    </row>
    <row r="12">
      <c r="A12">
        <f>Stammdaten!A13&amp;", "&amp;Stammdaten!B13</f>
        <v/>
      </c>
      <c r="B12">
        <f>'LN_Klausur 1'!I14</f>
        <v/>
      </c>
      <c r="C12">
        <f>'LN_Kurztest 1'!F14</f>
        <v/>
      </c>
      <c r="D12">
        <f>'LN_Klausur 2'!H13</f>
        <v/>
      </c>
      <c r="E12">
        <f>AVERAGE(B12:D12)</f>
        <v/>
      </c>
      <c r="F12">
        <f>ROUND(E12,0)</f>
        <v/>
      </c>
    </row>
    <row r="13">
      <c r="A13">
        <f>Stammdaten!A14&amp;", "&amp;Stammdaten!B14</f>
        <v/>
      </c>
      <c r="B13">
        <f>'LN_Klausur 1'!I15</f>
        <v/>
      </c>
      <c r="C13">
        <f>'LN_Kurztest 1'!F15</f>
        <v/>
      </c>
      <c r="D13">
        <f>'LN_Klausur 2'!H14</f>
        <v/>
      </c>
      <c r="E13">
        <f>AVERAGE(B13:D13)</f>
        <v/>
      </c>
      <c r="F13">
        <f>ROUND(E13,0)</f>
        <v/>
      </c>
    </row>
    <row r="14">
      <c r="A14">
        <f>Stammdaten!A15&amp;", "&amp;Stammdaten!B15</f>
        <v/>
      </c>
      <c r="B14">
        <f>'LN_Klausur 1'!I16</f>
        <v/>
      </c>
      <c r="C14">
        <f>'LN_Kurztest 1'!F16</f>
        <v/>
      </c>
      <c r="D14">
        <f>'LN_Klausur 2'!H15</f>
        <v/>
      </c>
      <c r="E14">
        <f>AVERAGE(B14:D14)</f>
        <v/>
      </c>
      <c r="F14">
        <f>ROUND(E14,0)</f>
        <v/>
      </c>
    </row>
    <row r="15">
      <c r="A15">
        <f>Stammdaten!A16&amp;", "&amp;Stammdaten!B16</f>
        <v/>
      </c>
      <c r="B15">
        <f>'LN_Klausur 1'!I17</f>
        <v/>
      </c>
      <c r="C15">
        <f>'LN_Kurztest 1'!F17</f>
        <v/>
      </c>
      <c r="D15">
        <f>'LN_Klausur 2'!H16</f>
        <v/>
      </c>
      <c r="E15">
        <f>AVERAGE(B15:D15)</f>
        <v/>
      </c>
      <c r="F15">
        <f>ROUND(E15,0)</f>
        <v/>
      </c>
    </row>
    <row r="16">
      <c r="A16">
        <f>Stammdaten!A17&amp;", "&amp;Stammdaten!B17</f>
        <v/>
      </c>
      <c r="B16">
        <f>'LN_Klausur 1'!I18</f>
        <v/>
      </c>
      <c r="C16">
        <f>'LN_Kurztest 1'!F18</f>
        <v/>
      </c>
      <c r="D16">
        <f>'LN_Klausur 2'!H17</f>
        <v/>
      </c>
      <c r="E16">
        <f>AVERAGE(B16:D16)</f>
        <v/>
      </c>
      <c r="F16">
        <f>ROUND(E16,0)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5" customWidth="1" min="5" max="5"/>
    <col width="13" customWidth="1" min="6" max="6"/>
  </cols>
  <sheetData>
    <row r="1" ht="30" customHeight="1">
      <c r="A1" s="3" t="inlineStr">
        <is>
          <t>Schüler</t>
        </is>
      </c>
      <c r="B1" s="3" t="inlineStr">
        <is>
          <t>Klausur 1</t>
        </is>
      </c>
      <c r="C1" s="3" t="inlineStr">
        <is>
          <t>Kurztest 1</t>
        </is>
      </c>
      <c r="D1" s="3" t="inlineStr">
        <is>
          <t>Klausur 2</t>
        </is>
      </c>
      <c r="E1" s="3" t="inlineStr">
        <is>
          <t>Ø (gewichtet)</t>
        </is>
      </c>
      <c r="F1" s="3" t="inlineStr">
        <is>
          <t>Zeugnisnote</t>
        </is>
      </c>
    </row>
    <row r="2">
      <c r="A2">
        <f>Stammdaten!A3&amp;", "&amp;Stammdaten!B3</f>
        <v/>
      </c>
      <c r="B2">
        <f>'LN_Klausur 1'!I4</f>
        <v/>
      </c>
      <c r="C2">
        <f>'LN_Kurztest 1'!F4</f>
        <v/>
      </c>
      <c r="D2">
        <f>'LN_Klausur 2'!H4</f>
        <v/>
      </c>
      <c r="E2">
        <f>AVERAGE(B2:D2)</f>
        <v/>
      </c>
      <c r="F2">
        <f>ROUND(E2,0)</f>
        <v/>
      </c>
    </row>
    <row r="3">
      <c r="A3">
        <f>Stammdaten!A4&amp;", "&amp;Stammdaten!B4</f>
        <v/>
      </c>
      <c r="B3">
        <f>'LN_Klausur 1'!I5</f>
        <v/>
      </c>
      <c r="C3">
        <f>'LN_Kurztest 1'!F5</f>
        <v/>
      </c>
      <c r="D3">
        <f>'LN_Klausur 2'!H5</f>
        <v/>
      </c>
      <c r="E3">
        <f>AVERAGE(B3:D3)</f>
        <v/>
      </c>
      <c r="F3">
        <f>ROUND(E3,0)</f>
        <v/>
      </c>
    </row>
    <row r="4">
      <c r="A4">
        <f>Stammdaten!A5&amp;", "&amp;Stammdaten!B5</f>
        <v/>
      </c>
      <c r="B4">
        <f>'LN_Klausur 1'!I6</f>
        <v/>
      </c>
      <c r="C4">
        <f>'LN_Kurztest 1'!F6</f>
        <v/>
      </c>
      <c r="D4">
        <f>'LN_Klausur 2'!H6</f>
        <v/>
      </c>
      <c r="E4">
        <f>AVERAGE(B4:D4)</f>
        <v/>
      </c>
      <c r="F4">
        <f>ROUND(E4,0)</f>
        <v/>
      </c>
    </row>
    <row r="5">
      <c r="A5">
        <f>Stammdaten!A6&amp;", "&amp;Stammdaten!B6</f>
        <v/>
      </c>
      <c r="B5">
        <f>'LN_Klausur 1'!I7</f>
        <v/>
      </c>
      <c r="C5">
        <f>'LN_Kurztest 1'!F7</f>
        <v/>
      </c>
      <c r="D5">
        <f>'LN_Klausur 2'!H7</f>
        <v/>
      </c>
      <c r="E5">
        <f>AVERAGE(B5:D5)</f>
        <v/>
      </c>
      <c r="F5">
        <f>ROUND(E5,0)</f>
        <v/>
      </c>
    </row>
    <row r="6">
      <c r="A6">
        <f>Stammdaten!A7&amp;", "&amp;Stammdaten!B7</f>
        <v/>
      </c>
      <c r="B6">
        <f>'LN_Klausur 1'!I8</f>
        <v/>
      </c>
      <c r="C6">
        <f>'LN_Kurztest 1'!F8</f>
        <v/>
      </c>
      <c r="D6">
        <f>'LN_Klausur 2'!H8</f>
        <v/>
      </c>
      <c r="E6">
        <f>AVERAGE(B6:D6)</f>
        <v/>
      </c>
      <c r="F6">
        <f>ROUND(E6,0)</f>
        <v/>
      </c>
    </row>
    <row r="7"/>
    <row r="8">
      <c r="A8">
        <f>Stammdaten!A9&amp;", "&amp;Stammdaten!B9</f>
        <v/>
      </c>
      <c r="B8">
        <f>'LN_Klausur 1'!I10</f>
        <v/>
      </c>
      <c r="C8">
        <f>'LN_Kurztest 1'!F10</f>
        <v/>
      </c>
      <c r="D8">
        <f>'LN_Klausur 2'!H9</f>
        <v/>
      </c>
      <c r="E8">
        <f>AVERAGE(B8:D8)</f>
        <v/>
      </c>
      <c r="F8">
        <f>ROUND(E8,0)</f>
        <v/>
      </c>
    </row>
    <row r="9">
      <c r="A9">
        <f>Stammdaten!A10&amp;", "&amp;Stammdaten!B10</f>
        <v/>
      </c>
      <c r="B9">
        <f>'LN_Klausur 1'!I11</f>
        <v/>
      </c>
      <c r="C9">
        <f>'LN_Kurztest 1'!F11</f>
        <v/>
      </c>
      <c r="D9">
        <f>'LN_Klausur 2'!H10</f>
        <v/>
      </c>
      <c r="E9">
        <f>AVERAGE(B9:D9)</f>
        <v/>
      </c>
      <c r="F9">
        <f>ROUND(E9,0)</f>
        <v/>
      </c>
    </row>
    <row r="10">
      <c r="A10">
        <f>Stammdaten!A11&amp;", "&amp;Stammdaten!B11</f>
        <v/>
      </c>
      <c r="B10">
        <f>'LN_Klausur 1'!I12</f>
        <v/>
      </c>
      <c r="C10">
        <f>'LN_Kurztest 1'!F12</f>
        <v/>
      </c>
      <c r="D10">
        <f>'LN_Klausur 2'!H11</f>
        <v/>
      </c>
      <c r="E10">
        <f>AVERAGE(B10:D10)</f>
        <v/>
      </c>
      <c r="F10">
        <f>ROUND(E10,0)</f>
        <v/>
      </c>
    </row>
    <row r="11">
      <c r="A11">
        <f>Stammdaten!A12&amp;", "&amp;Stammdaten!B12</f>
        <v/>
      </c>
      <c r="B11">
        <f>'LN_Klausur 1'!I13</f>
        <v/>
      </c>
      <c r="C11">
        <f>'LN_Kurztest 1'!F13</f>
        <v/>
      </c>
      <c r="D11">
        <f>'LN_Klausur 2'!H12</f>
        <v/>
      </c>
      <c r="E11">
        <f>AVERAGE(B11:D11)</f>
        <v/>
      </c>
      <c r="F11">
        <f>ROUND(E11,0)</f>
        <v/>
      </c>
    </row>
    <row r="12">
      <c r="A12">
        <f>Stammdaten!A13&amp;", "&amp;Stammdaten!B13</f>
        <v/>
      </c>
      <c r="B12">
        <f>'LN_Klausur 1'!I14</f>
        <v/>
      </c>
      <c r="C12">
        <f>'LN_Kurztest 1'!F14</f>
        <v/>
      </c>
      <c r="D12">
        <f>'LN_Klausur 2'!H13</f>
        <v/>
      </c>
      <c r="E12">
        <f>AVERAGE(B12:D12)</f>
        <v/>
      </c>
      <c r="F12">
        <f>ROUND(E12,0)</f>
        <v/>
      </c>
    </row>
    <row r="13">
      <c r="A13">
        <f>Stammdaten!A14&amp;", "&amp;Stammdaten!B14</f>
        <v/>
      </c>
      <c r="B13">
        <f>'LN_Klausur 1'!I15</f>
        <v/>
      </c>
      <c r="C13">
        <f>'LN_Kurztest 1'!F15</f>
        <v/>
      </c>
      <c r="D13">
        <f>'LN_Klausur 2'!H14</f>
        <v/>
      </c>
      <c r="E13">
        <f>AVERAGE(B13:D13)</f>
        <v/>
      </c>
      <c r="F13">
        <f>ROUND(E13,0)</f>
        <v/>
      </c>
    </row>
    <row r="14">
      <c r="A14">
        <f>Stammdaten!A15&amp;", "&amp;Stammdaten!B15</f>
        <v/>
      </c>
      <c r="B14">
        <f>'LN_Klausur 1'!I16</f>
        <v/>
      </c>
      <c r="C14">
        <f>'LN_Kurztest 1'!F16</f>
        <v/>
      </c>
      <c r="D14">
        <f>'LN_Klausur 2'!H15</f>
        <v/>
      </c>
      <c r="E14">
        <f>AVERAGE(B14:D14)</f>
        <v/>
      </c>
      <c r="F14">
        <f>ROUND(E14,0)</f>
        <v/>
      </c>
    </row>
    <row r="15">
      <c r="A15">
        <f>Stammdaten!A16&amp;", "&amp;Stammdaten!B16</f>
        <v/>
      </c>
      <c r="B15">
        <f>'LN_Klausur 1'!I17</f>
        <v/>
      </c>
      <c r="C15">
        <f>'LN_Kurztest 1'!F17</f>
        <v/>
      </c>
      <c r="D15">
        <f>'LN_Klausur 2'!H16</f>
        <v/>
      </c>
      <c r="E15">
        <f>AVERAGE(B15:D15)</f>
        <v/>
      </c>
      <c r="F15">
        <f>ROUND(E15,0)</f>
        <v/>
      </c>
    </row>
    <row r="16">
      <c r="A16">
        <f>Stammdaten!A17&amp;", "&amp;Stammdaten!B17</f>
        <v/>
      </c>
      <c r="B16">
        <f>'LN_Klausur 1'!I18</f>
        <v/>
      </c>
      <c r="C16">
        <f>'LN_Kurztest 1'!F18</f>
        <v/>
      </c>
      <c r="D16">
        <f>'LN_Klausur 2'!H17</f>
        <v/>
      </c>
      <c r="E16">
        <f>AVERAGE(B16:D16)</f>
        <v/>
      </c>
      <c r="F16">
        <f>ROUND(E16,0)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Untergrenze (%)</t>
        </is>
      </c>
      <c r="B1" t="inlineStr">
        <is>
          <t>Note (0-15)</t>
        </is>
      </c>
    </row>
    <row r="2">
      <c r="A2" t="n">
        <v>0.95</v>
      </c>
      <c r="B2" t="n">
        <v>15</v>
      </c>
    </row>
    <row r="3">
      <c r="A3" t="n">
        <v>0.9</v>
      </c>
      <c r="B3" t="n">
        <v>14</v>
      </c>
    </row>
    <row r="4">
      <c r="A4" t="n">
        <v>0.85</v>
      </c>
      <c r="B4" t="n">
        <v>13</v>
      </c>
    </row>
    <row r="5">
      <c r="A5" t="n">
        <v>0.8</v>
      </c>
      <c r="B5" t="n">
        <v>12</v>
      </c>
    </row>
    <row r="6">
      <c r="A6" t="n">
        <v>0.75</v>
      </c>
      <c r="B6" t="n">
        <v>11</v>
      </c>
    </row>
    <row r="7">
      <c r="A7" t="n">
        <v>0.7</v>
      </c>
      <c r="B7" t="n">
        <v>10</v>
      </c>
    </row>
    <row r="8">
      <c r="A8" t="n">
        <v>0.65</v>
      </c>
      <c r="B8" t="n">
        <v>9</v>
      </c>
    </row>
    <row r="9">
      <c r="A9" t="n">
        <v>0.6</v>
      </c>
      <c r="B9" t="n">
        <v>8</v>
      </c>
    </row>
    <row r="10">
      <c r="A10" t="n">
        <v>0.55</v>
      </c>
      <c r="B10" t="n">
        <v>7</v>
      </c>
    </row>
    <row r="11">
      <c r="A11" t="n">
        <v>0.5</v>
      </c>
      <c r="B11" t="n">
        <v>6</v>
      </c>
    </row>
    <row r="12">
      <c r="A12" t="n">
        <v>0.45</v>
      </c>
      <c r="B12" t="n">
        <v>5</v>
      </c>
    </row>
    <row r="13">
      <c r="A13" t="n">
        <v>0.4</v>
      </c>
      <c r="B13" t="n">
        <v>4</v>
      </c>
    </row>
    <row r="14">
      <c r="A14" t="n">
        <v>0.33</v>
      </c>
      <c r="B14" t="n">
        <v>3</v>
      </c>
    </row>
    <row r="15">
      <c r="A15" t="n">
        <v>0.27</v>
      </c>
      <c r="B15" t="n">
        <v>2</v>
      </c>
    </row>
    <row r="16">
      <c r="A16" t="n">
        <v>0.2</v>
      </c>
      <c r="B16" t="n">
        <v>1</v>
      </c>
    </row>
    <row r="17">
      <c r="A17" t="n">
        <v>0</v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2026-04-27T11:18:13Z</dcterms:created>
  <dcterms:modified xsi:type="dcterms:W3CDTF">2026-04-27T11:18:13Z</dcterms:modified>
</cp:coreProperties>
</file>